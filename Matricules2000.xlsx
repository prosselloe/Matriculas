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7740"/>
  </bookViews>
  <sheets>
    <sheet name="Matriculas" sheetId="1" r:id="rId1"/>
    <sheet name="Lletras" sheetId="2" r:id="rId2"/>
    <sheet name="Vehículos" sheetId="3" r:id="rId3"/>
  </sheets>
  <definedNames>
    <definedName name="_xlnm._FilterDatabase" localSheetId="1" hidden="1">Lletras!$A$1:$C$28</definedName>
    <definedName name="_xlnm._FilterDatabase" localSheetId="2" hidden="1">Vehículos!$A$2:$D$397</definedName>
  </definedNames>
  <calcPr calcId="145621" iterateDelta="1E-4"/>
  <fileRecoveryPr repairLoad="1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N2" i="1" l="1"/>
  <c r="Q2" i="1" s="1"/>
  <c r="O2" i="1"/>
  <c r="R2" i="1" s="1"/>
  <c r="P2" i="1"/>
  <c r="S2" i="1" s="1"/>
  <c r="R4" i="1"/>
  <c r="R12" i="1"/>
  <c r="Q23" i="1"/>
  <c r="N3" i="1"/>
  <c r="Q3" i="1" s="1"/>
  <c r="O3" i="1"/>
  <c r="R3" i="1" s="1"/>
  <c r="P3" i="1"/>
  <c r="S3" i="1" s="1"/>
  <c r="N4" i="1"/>
  <c r="Q4" i="1" s="1"/>
  <c r="O4" i="1"/>
  <c r="P4" i="1"/>
  <c r="S4" i="1" s="1"/>
  <c r="N5" i="1"/>
  <c r="Q5" i="1" s="1"/>
  <c r="O5" i="1"/>
  <c r="R5" i="1" s="1"/>
  <c r="P5" i="1"/>
  <c r="S5" i="1" s="1"/>
  <c r="N6" i="1"/>
  <c r="Q6" i="1" s="1"/>
  <c r="O6" i="1"/>
  <c r="R6" i="1" s="1"/>
  <c r="P6" i="1"/>
  <c r="S6" i="1" s="1"/>
  <c r="N7" i="1"/>
  <c r="Q7" i="1" s="1"/>
  <c r="O7" i="1"/>
  <c r="R7" i="1" s="1"/>
  <c r="P7" i="1"/>
  <c r="S7" i="1" s="1"/>
  <c r="N8" i="1"/>
  <c r="Q8" i="1" s="1"/>
  <c r="O8" i="1"/>
  <c r="R8" i="1" s="1"/>
  <c r="P8" i="1"/>
  <c r="S8" i="1" s="1"/>
  <c r="N9" i="1"/>
  <c r="Q9" i="1" s="1"/>
  <c r="O9" i="1"/>
  <c r="R9" i="1" s="1"/>
  <c r="P9" i="1"/>
  <c r="S9" i="1" s="1"/>
  <c r="N10" i="1"/>
  <c r="Q10" i="1" s="1"/>
  <c r="O10" i="1"/>
  <c r="R10" i="1" s="1"/>
  <c r="P10" i="1"/>
  <c r="S10" i="1" s="1"/>
  <c r="N11" i="1"/>
  <c r="Q11" i="1" s="1"/>
  <c r="O11" i="1"/>
  <c r="R11" i="1" s="1"/>
  <c r="P11" i="1"/>
  <c r="S11" i="1" s="1"/>
  <c r="N12" i="1"/>
  <c r="Q12" i="1" s="1"/>
  <c r="O12" i="1"/>
  <c r="P12" i="1"/>
  <c r="S12" i="1" s="1"/>
  <c r="N13" i="1"/>
  <c r="Q13" i="1" s="1"/>
  <c r="O13" i="1"/>
  <c r="R13" i="1" s="1"/>
  <c r="P13" i="1"/>
  <c r="S13" i="1" s="1"/>
  <c r="N14" i="1"/>
  <c r="Q14" i="1" s="1"/>
  <c r="O14" i="1"/>
  <c r="R14" i="1" s="1"/>
  <c r="P14" i="1"/>
  <c r="S14" i="1" s="1"/>
  <c r="N15" i="1"/>
  <c r="Q15" i="1" s="1"/>
  <c r="O15" i="1"/>
  <c r="R15" i="1" s="1"/>
  <c r="P15" i="1"/>
  <c r="S15" i="1" s="1"/>
  <c r="N16" i="1"/>
  <c r="Q16" i="1" s="1"/>
  <c r="O16" i="1"/>
  <c r="R16" i="1" s="1"/>
  <c r="P16" i="1"/>
  <c r="S16" i="1" s="1"/>
  <c r="N17" i="1"/>
  <c r="Q17" i="1" s="1"/>
  <c r="O17" i="1"/>
  <c r="R17" i="1" s="1"/>
  <c r="P17" i="1"/>
  <c r="S17" i="1" s="1"/>
  <c r="N18" i="1"/>
  <c r="Q18" i="1" s="1"/>
  <c r="O18" i="1"/>
  <c r="R18" i="1" s="1"/>
  <c r="P18" i="1"/>
  <c r="S18" i="1" s="1"/>
  <c r="N19" i="1"/>
  <c r="Q19" i="1" s="1"/>
  <c r="O19" i="1"/>
  <c r="R19" i="1" s="1"/>
  <c r="P19" i="1"/>
  <c r="S19" i="1" s="1"/>
  <c r="N20" i="1"/>
  <c r="Q20" i="1" s="1"/>
  <c r="O20" i="1"/>
  <c r="R20" i="1" s="1"/>
  <c r="P20" i="1"/>
  <c r="S20" i="1" s="1"/>
  <c r="N21" i="1"/>
  <c r="Q21" i="1" s="1"/>
  <c r="O21" i="1"/>
  <c r="R21" i="1" s="1"/>
  <c r="P21" i="1"/>
  <c r="S21" i="1" s="1"/>
  <c r="N22" i="1"/>
  <c r="Q22" i="1" s="1"/>
  <c r="O22" i="1"/>
  <c r="R22" i="1" s="1"/>
  <c r="P22" i="1"/>
  <c r="S22" i="1" s="1"/>
  <c r="N23" i="1"/>
  <c r="O23" i="1"/>
  <c r="R23" i="1" s="1"/>
  <c r="P23" i="1"/>
  <c r="S23" i="1" s="1"/>
  <c r="O24" i="1"/>
  <c r="R24" i="1" s="1"/>
  <c r="P24" i="1"/>
  <c r="S24" i="1" s="1"/>
  <c r="N24" i="1"/>
  <c r="Q24" i="1" s="1"/>
  <c r="T24" i="1" l="1"/>
  <c r="U24" i="1" s="1"/>
  <c r="T22" i="1"/>
  <c r="T2" i="1"/>
  <c r="T21" i="1"/>
  <c r="T23" i="1"/>
  <c r="U23" i="1" s="1"/>
  <c r="U22" i="1" l="1"/>
  <c r="U21" i="1"/>
  <c r="T20" i="1"/>
  <c r="U20" i="1" s="1"/>
  <c r="T19" i="1" l="1"/>
  <c r="U19" i="1" l="1"/>
  <c r="T18" i="1"/>
  <c r="U18" i="1" s="1"/>
  <c r="T17" i="1" l="1"/>
  <c r="U17" i="1" l="1"/>
  <c r="T16" i="1"/>
  <c r="U16" i="1" s="1"/>
  <c r="T15" i="1" l="1"/>
  <c r="U15" i="1" l="1"/>
  <c r="T14" i="1"/>
  <c r="U14" i="1" s="1"/>
  <c r="T13" i="1" l="1"/>
  <c r="U13" i="1" l="1"/>
  <c r="T12" i="1"/>
  <c r="U12" i="1" s="1"/>
  <c r="T11" i="1" l="1"/>
  <c r="U11" i="1" l="1"/>
  <c r="T10" i="1"/>
  <c r="U10" i="1" s="1"/>
  <c r="T9" i="1" l="1"/>
  <c r="U9" i="1" l="1"/>
  <c r="T8" i="1"/>
  <c r="U8" i="1" s="1"/>
  <c r="T7" i="1" l="1"/>
  <c r="U7" i="1" l="1"/>
  <c r="T6" i="1"/>
  <c r="U6" i="1" s="1"/>
  <c r="T5" i="1" l="1"/>
  <c r="U5" i="1" l="1"/>
  <c r="T3" i="1"/>
  <c r="T4" i="1"/>
  <c r="U4" i="1" s="1"/>
  <c r="U3" i="1" l="1"/>
  <c r="U2" i="1"/>
</calcChain>
</file>

<file path=xl/sharedStrings.xml><?xml version="1.0" encoding="utf-8"?>
<sst xmlns="http://schemas.openxmlformats.org/spreadsheetml/2006/main" count="324" uniqueCount="316">
  <si>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</si>
  <si>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</si>
  <si>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</si>
  <si>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</si>
  <si>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</si>
  <si>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</si>
  <si>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</si>
  <si>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</si>
  <si>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</si>
  <si>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</si>
  <si>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</si>
  <si>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</si>
  <si>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LWD</t>
  </si>
  <si>
    <t>LWP</t>
  </si>
  <si>
    <t>LXC</t>
  </si>
  <si>
    <t>LXR</t>
  </si>
  <si>
    <t>LYH</t>
  </si>
  <si>
    <t>LYZ</t>
  </si>
  <si>
    <t>LZN</t>
  </si>
  <si>
    <t>LZY</t>
  </si>
  <si>
    <t>LMK</t>
  </si>
  <si>
    <t>LMX</t>
  </si>
  <si>
    <t>LNM</t>
  </si>
  <si>
    <t>LPD</t>
  </si>
  <si>
    <t>LPW</t>
  </si>
  <si>
    <t>LRN</t>
  </si>
  <si>
    <t>LSF</t>
  </si>
  <si>
    <t>LSP</t>
  </si>
  <si>
    <t>LTD</t>
  </si>
  <si>
    <t>LTR</t>
  </si>
  <si>
    <t>LVF</t>
  </si>
  <si>
    <t>LVV</t>
  </si>
  <si>
    <t>LFH</t>
  </si>
  <si>
    <t>LFY</t>
  </si>
  <si>
    <t>LGG</t>
  </si>
  <si>
    <t>LGH</t>
  </si>
  <si>
    <t>LGP</t>
  </si>
  <si>
    <t>LHG</t>
  </si>
  <si>
    <t>LJD</t>
  </si>
  <si>
    <t>LJR</t>
  </si>
  <si>
    <t>LKT</t>
  </si>
  <si>
    <t>LKV</t>
  </si>
  <si>
    <t>LLJ</t>
  </si>
  <si>
    <t>LMC</t>
  </si>
  <si>
    <t>KTH</t>
  </si>
  <si>
    <t>KTZ</t>
  </si>
  <si>
    <t>KVX</t>
  </si>
  <si>
    <t>KWS</t>
  </si>
  <si>
    <t>KXR</t>
  </si>
  <si>
    <t>KYN</t>
  </si>
  <si>
    <t>KZK</t>
  </si>
  <si>
    <t>KZZ</t>
  </si>
  <si>
    <t>LBN</t>
  </si>
  <si>
    <t>LCG</t>
  </si>
  <si>
    <t>LCY</t>
  </si>
  <si>
    <t>LDR</t>
  </si>
  <si>
    <t>KHF</t>
  </si>
  <si>
    <t>KHX</t>
  </si>
  <si>
    <t>KJV</t>
  </si>
  <si>
    <t>KKN</t>
  </si>
  <si>
    <t>KLM</t>
  </si>
  <si>
    <t>KML</t>
  </si>
  <si>
    <t>KNK</t>
  </si>
  <si>
    <t>KPD</t>
  </si>
  <si>
    <t>KPR</t>
  </si>
  <si>
    <t>KRJ</t>
  </si>
  <si>
    <t>KRX</t>
  </si>
  <si>
    <t>KSS</t>
  </si>
  <si>
    <t>JWN</t>
  </si>
  <si>
    <t>JXF</t>
  </si>
  <si>
    <t>JYB</t>
  </si>
  <si>
    <t>JYT</t>
  </si>
  <si>
    <t>JZP</t>
  </si>
  <si>
    <t>KBM</t>
  </si>
  <si>
    <t>KCH</t>
  </si>
  <si>
    <t>KCV</t>
  </si>
  <si>
    <t>KDK</t>
  </si>
  <si>
    <t>KFB</t>
  </si>
  <si>
    <t>KFV</t>
  </si>
  <si>
    <t>KGN</t>
  </si>
  <si>
    <t>JLN</t>
  </si>
  <si>
    <t>JMF</t>
  </si>
  <si>
    <t>JMY</t>
  </si>
  <si>
    <t>JNR</t>
  </si>
  <si>
    <t>JPK</t>
  </si>
  <si>
    <t>JRG</t>
  </si>
  <si>
    <t>JRZ</t>
  </si>
  <si>
    <t>JSL</t>
  </si>
  <si>
    <t>JTB</t>
  </si>
  <si>
    <t>JTR</t>
  </si>
  <si>
    <t>JVH</t>
  </si>
  <si>
    <t>JVZ</t>
  </si>
  <si>
    <t>JCK</t>
  </si>
  <si>
    <t>JCY</t>
  </si>
  <si>
    <t>JDR</t>
  </si>
  <si>
    <t>JFG</t>
  </si>
  <si>
    <t>JFW</t>
  </si>
  <si>
    <t>JGP</t>
  </si>
  <si>
    <t>JHJ</t>
  </si>
  <si>
    <t>JHT</t>
  </si>
  <si>
    <t>JJH</t>
  </si>
  <si>
    <t>JJW</t>
  </si>
  <si>
    <t>JKK</t>
  </si>
  <si>
    <t>JKZ</t>
  </si>
  <si>
    <t>HVN</t>
  </si>
  <si>
    <t>HVZ</t>
  </si>
  <si>
    <t>HWM</t>
  </si>
  <si>
    <t>HXB</t>
  </si>
  <si>
    <t>HXN</t>
  </si>
  <si>
    <t>HYD</t>
  </si>
  <si>
    <t>HYT</t>
  </si>
  <si>
    <t>HZB</t>
  </si>
  <si>
    <t>HZL</t>
  </si>
  <si>
    <t>HZZ</t>
  </si>
  <si>
    <t>JBL</t>
  </si>
  <si>
    <t>JBY</t>
  </si>
  <si>
    <t>HNT</t>
  </si>
  <si>
    <t>HPC</t>
  </si>
  <si>
    <t>HPN</t>
  </si>
  <si>
    <t>HPY</t>
  </si>
  <si>
    <t>HRK</t>
  </si>
  <si>
    <t>HRX</t>
  </si>
  <si>
    <t>HSK</t>
  </si>
  <si>
    <t>HSR</t>
  </si>
  <si>
    <t>HSZ</t>
  </si>
  <si>
    <t>HTK</t>
  </si>
  <si>
    <t>HTV</t>
  </si>
  <si>
    <t>HVF</t>
  </si>
  <si>
    <t>HJC</t>
  </si>
  <si>
    <t>HJM</t>
  </si>
  <si>
    <t>HKB</t>
  </si>
  <si>
    <t>HKL</t>
  </si>
  <si>
    <t>HKX</t>
  </si>
  <si>
    <t>HLK</t>
  </si>
  <si>
    <t>HLW</t>
  </si>
  <si>
    <t>HMD</t>
  </si>
  <si>
    <t>HML</t>
  </si>
  <si>
    <t>HMT</t>
  </si>
  <si>
    <t>HNC</t>
  </si>
  <si>
    <t>HNK</t>
  </si>
  <si>
    <t>HBP</t>
  </si>
  <si>
    <t>HCB</t>
  </si>
  <si>
    <t>HCR</t>
  </si>
  <si>
    <t>HDC</t>
  </si>
  <si>
    <t>HDR</t>
  </si>
  <si>
    <t>HFF</t>
  </si>
  <si>
    <t>HFT</t>
  </si>
  <si>
    <t>HGC</t>
  </si>
  <si>
    <t>HGM</t>
  </si>
  <si>
    <t>HGX</t>
  </si>
  <si>
    <t>HHH</t>
  </si>
  <si>
    <t>HHT</t>
  </si>
  <si>
    <t>GTC</t>
  </si>
  <si>
    <t>GTS</t>
  </si>
  <si>
    <t>GVM</t>
  </si>
  <si>
    <t>GWC</t>
  </si>
  <si>
    <t>GWV</t>
  </si>
  <si>
    <t>GXP</t>
  </si>
  <si>
    <t>GYD</t>
  </si>
  <si>
    <t>GYM</t>
  </si>
  <si>
    <t>GYX</t>
  </si>
  <si>
    <t>GZJ</t>
  </si>
  <si>
    <t>GZT</t>
  </si>
  <si>
    <t>HBG</t>
  </si>
  <si>
    <t>GKS</t>
  </si>
  <si>
    <t>GLC</t>
  </si>
  <si>
    <t>GLP</t>
  </si>
  <si>
    <t>GMC</t>
  </si>
  <si>
    <t>GMN</t>
  </si>
  <si>
    <t>GNF</t>
  </si>
  <si>
    <t>GNY</t>
  </si>
  <si>
    <t>GPJ</t>
  </si>
  <si>
    <t>GPW</t>
  </si>
  <si>
    <t>GRM</t>
  </si>
  <si>
    <t>GSC</t>
  </si>
  <si>
    <t>GSR</t>
  </si>
  <si>
    <t>FZR</t>
  </si>
  <si>
    <t>GBN</t>
  </si>
  <si>
    <t>GCK</t>
  </si>
  <si>
    <t>GDH</t>
  </si>
  <si>
    <t>GFC</t>
  </si>
  <si>
    <t>GFY</t>
  </si>
  <si>
    <t>GGV</t>
  </si>
  <si>
    <t>GHG</t>
  </si>
  <si>
    <t>GHT</t>
  </si>
  <si>
    <t>GJJ</t>
  </si>
  <si>
    <t>GJV</t>
  </si>
  <si>
    <t>GKH</t>
  </si>
  <si>
    <t>FKY</t>
  </si>
  <si>
    <t>FLV</t>
  </si>
  <si>
    <t>FNB</t>
  </si>
  <si>
    <t>FNZ</t>
  </si>
  <si>
    <t>FRC</t>
  </si>
  <si>
    <t>FSJ</t>
  </si>
  <si>
    <t>FTP</t>
  </si>
  <si>
    <t>FVJ</t>
  </si>
  <si>
    <t>FWC</t>
  </si>
  <si>
    <t>FXB</t>
  </si>
  <si>
    <t>FXY</t>
  </si>
  <si>
    <t>FYY</t>
  </si>
  <si>
    <t>DVW</t>
  </si>
  <si>
    <t>DWT</t>
  </si>
  <si>
    <t>DXZ</t>
  </si>
  <si>
    <t>DYY</t>
  </si>
  <si>
    <t>FBC</t>
  </si>
  <si>
    <t>FCJ</t>
  </si>
  <si>
    <t>FDP</t>
  </si>
  <si>
    <t>FFK</t>
  </si>
  <si>
    <t>FGF</t>
  </si>
  <si>
    <t>FHD</t>
  </si>
  <si>
    <t>FJD</t>
  </si>
  <si>
    <t>FKC</t>
  </si>
  <si>
    <t>DFZ</t>
  </si>
  <si>
    <t>DGX</t>
  </si>
  <si>
    <t>DHZ</t>
  </si>
  <si>
    <t>DKB</t>
  </si>
  <si>
    <t>DLD</t>
  </si>
  <si>
    <t>DMJ</t>
  </si>
  <si>
    <t>DNP</t>
  </si>
  <si>
    <t>DPK</t>
  </si>
  <si>
    <t>DRG</t>
  </si>
  <si>
    <t>DSC</t>
  </si>
  <si>
    <t>DTB</t>
  </si>
  <si>
    <t>DVB</t>
  </si>
  <si>
    <t>CRV</t>
  </si>
  <si>
    <t>CSS</t>
  </si>
  <si>
    <t>CTT</t>
  </si>
  <si>
    <t>CVR</t>
  </si>
  <si>
    <t>CWR</t>
  </si>
  <si>
    <t>CXT</t>
  </si>
  <si>
    <t>CYY</t>
  </si>
  <si>
    <t>CZP</t>
  </si>
  <si>
    <t>DBJ</t>
  </si>
  <si>
    <t>DCH</t>
  </si>
  <si>
    <t>DDG</t>
  </si>
  <si>
    <t>DFF</t>
  </si>
  <si>
    <t>CDV</t>
  </si>
  <si>
    <t>CFM</t>
  </si>
  <si>
    <t>CGJ</t>
  </si>
  <si>
    <t>CHF</t>
  </si>
  <si>
    <t>CJC</t>
  </si>
  <si>
    <t>CKB</t>
  </si>
  <si>
    <t>CLD</t>
  </si>
  <si>
    <t>CLV</t>
  </si>
  <si>
    <t>CMM</t>
  </si>
  <si>
    <t>CNK</t>
  </si>
  <si>
    <t>CPF</t>
  </si>
  <si>
    <t>CRC</t>
  </si>
  <si>
    <t>BSL</t>
  </si>
  <si>
    <t>BTF</t>
  </si>
  <si>
    <t>BTZ</t>
  </si>
  <si>
    <t>BVW</t>
  </si>
  <si>
    <t>BWT</t>
  </si>
  <si>
    <t>BXP</t>
  </si>
  <si>
    <t>BYP</t>
  </si>
  <si>
    <t>BZF</t>
  </si>
  <si>
    <t>BZV</t>
  </si>
  <si>
    <t>CBP</t>
  </si>
  <si>
    <t>CCH</t>
  </si>
  <si>
    <t>CDC</t>
  </si>
  <si>
    <t>BFJ</t>
  </si>
  <si>
    <t>BGF</t>
  </si>
  <si>
    <t>BHG</t>
  </si>
  <si>
    <t>BJC</t>
  </si>
  <si>
    <t>BKB</t>
  </si>
  <si>
    <t>BLC</t>
  </si>
  <si>
    <t>BMF</t>
  </si>
  <si>
    <t>BMW</t>
  </si>
  <si>
    <t>BNL</t>
  </si>
  <si>
    <t>BPG</t>
  </si>
  <si>
    <t>BRB</t>
  </si>
  <si>
    <t>BRT</t>
  </si>
  <si>
    <t>BBJ</t>
  </si>
  <si>
    <t>BCD</t>
  </si>
  <si>
    <t>BCY</t>
  </si>
  <si>
    <t>BDR</t>
  </si>
  <si>
    <t>MBX</t>
  </si>
  <si>
    <t>A</t>
  </si>
  <si>
    <t>B</t>
  </si>
  <si>
    <t>C</t>
  </si>
  <si>
    <t>Ord.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</si>
  <si>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</si>
  <si>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</si>
  <si>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</si>
  <si>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</si>
  <si>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</si>
  <si>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</si>
  <si>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</si>
  <si>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</si>
  <si>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</si>
  <si>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</si>
  <si>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</si>
  <si>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</si>
  <si>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</si>
  <si>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</si>
  <si>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</si>
  <si>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</si>
  <si>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</si>
  <si>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</si>
  <si>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</si>
  <si>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</si>
  <si>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</si>
  <si>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</si>
  <si>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</si>
  <si>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</si>
  <si>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Letra</t>
  </si>
  <si>
    <t>Total</t>
  </si>
  <si>
    <t>Anual</t>
  </si>
  <si>
    <t>Año</t>
  </si>
  <si>
    <t>Cálculos</t>
  </si>
  <si>
    <t>DGT</t>
  </si>
  <si>
    <t>Real</t>
  </si>
  <si>
    <t>Fecha</t>
  </si>
  <si>
    <t>Vehículos comerciales Año</t>
  </si>
  <si>
    <t>Vehículos pasajeros Año</t>
  </si>
  <si>
    <t>España - Matriculaciones de vehículos nuevos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</si>
</sst>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 applyBorder="1"/>
    <xf numFmtId="0" fontId="0" fillId="0" borderId="0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3" fontId="0" fillId="0" borderId="11" xfId="0" applyNumberFormat="1" applyBorder="1"/>
    <xf numFmtId="3" fontId="0" fillId="3" borderId="11" xfId="0" applyNumberFormat="1" applyFill="1" applyBorder="1"/>
    <xf numFmtId="3" fontId="0" fillId="0" borderId="12" xfId="0" applyNumberFormat="1" applyBorder="1"/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0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3" xfId="0" applyFill="1" applyBorder="1"/>
    <xf numFmtId="3" fontId="0" fillId="3" borderId="10" xfId="0" applyNumberFormat="1" applyFill="1" applyBorder="1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15" xfId="1" applyBorder="1"/>
    <xf numFmtId="0" fontId="1" fillId="0" borderId="5" xfId="0" applyFont="1" applyBorder="1" applyAlignment="1">
      <alignment vertical="center"/>
    </xf>
    <xf numFmtId="0" fontId="1" fillId="0" borderId="6" xfId="0" applyFont="1" applyBorder="1"/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1" fillId="3" borderId="11" xfId="0" applyNumberFormat="1" applyFont="1" applyFill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0" fontId="2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triculasdelmundo.com/fechamatricula.php" TargetMode="External"/><Relationship Id="rId2" Type="http://schemas.openxmlformats.org/officeDocument/2006/relationships/hyperlink" Target="https://matriculasdelmundo.com/fechamatricula.php" TargetMode="External"/><Relationship Id="rId1" Type="http://schemas.openxmlformats.org/officeDocument/2006/relationships/hyperlink" Target="https://matriculasdelmundo.com/fechamatricula.php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heobjective.com/motor/2022-09-08/letras-prohibida-matriculas-dg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osmacro.expansion.com/negocios/matriculaciones-vehiculos/espana?anio=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baseColWidth="10" defaultRowHeight="15" customHeight="1" x14ac:dyDescent="0.25"/>
  <cols>
    <col min="1" max="13" width="5.7109375" customWidth="1"/>
    <col min="14" max="16" width="1.7109375" customWidth="1"/>
    <col min="17" max="19" width="2.7109375" customWidth="1"/>
  </cols>
  <sheetData>
    <row r="1" spans="1:22" ht="15" customHeight="1" x14ac:dyDescent="0.25">
      <c r="A1" s="22" t="s">
        <v>308</v>
      </c>
      <c r="B1" s="23" t="s">
        <v>0</v>
      </c>
      <c r="C1" s="24" t="s">
        <v>1</v>
      </c>
      <c r="D1" s="25" t="s">
        <v>2</v>
      </c>
      <c r="E1" s="24" t="s">
        <v>3</v>
      </c>
      <c r="F1" s="24" t="s">
        <v>4</v>
      </c>
      <c r="G1" s="24" t="s">
        <v>5</v>
      </c>
      <c r="H1" s="23" t="s">
        <v>6</v>
      </c>
      <c r="I1" s="24" t="s">
        <v>7</v>
      </c>
      <c r="J1" s="25" t="s">
        <v>8</v>
      </c>
      <c r="K1" s="24" t="s">
        <v>9</v>
      </c>
      <c r="L1" s="24" t="s">
        <v>10</v>
      </c>
      <c r="M1" s="25" t="s">
        <v>11</v>
      </c>
      <c r="N1" s="45" t="s">
        <v>309</v>
      </c>
      <c r="O1" s="46"/>
      <c r="P1" s="46"/>
      <c r="Q1" s="46"/>
      <c r="R1" s="46"/>
      <c r="S1" s="47"/>
      <c r="T1" s="26" t="s">
        <v>306</v>
      </c>
      <c r="U1" s="26" t="s">
        <v>307</v>
      </c>
      <c r="V1" s="26" t="s">
        <v>311</v>
      </c>
    </row>
    <row r="2" spans="1:22" ht="15" customHeight="1" x14ac:dyDescent="0.25">
      <c r="A2" s="20">
        <v>2022</v>
      </c>
      <c r="B2" s="10" t="s">
        <v>12</v>
      </c>
      <c r="C2" s="11" t="s">
        <v>13</v>
      </c>
      <c r="D2" s="12" t="s">
        <v>14</v>
      </c>
      <c r="E2" s="11" t="s">
        <v>15</v>
      </c>
      <c r="F2" s="11" t="s">
        <v>16</v>
      </c>
      <c r="G2" s="11" t="s">
        <v>17</v>
      </c>
      <c r="H2" s="10" t="s">
        <v>18</v>
      </c>
      <c r="I2" s="11" t="s">
        <v>19</v>
      </c>
      <c r="J2" s="4" t="s">
        <v>276</v>
      </c>
      <c r="K2" s="11"/>
      <c r="L2" s="11"/>
      <c r="M2" s="12"/>
      <c r="N2" s="3" t="str">
        <f>LEFT(M2,1)</f>
        <v/>
      </c>
      <c r="O2" s="3" t="str">
        <f>RIGHT(LEFT(M2,2),1)</f>
        <v/>
      </c>
      <c r="P2" s="3" t="str">
        <f>RIGHT(M2,1)</f>
        <v/>
      </c>
      <c r="Q2" s="3" t="e">
        <f>VLOOKUP(N2,Lletras!$A:$B,2)-1</f>
        <v>#N/A</v>
      </c>
      <c r="R2" s="3" t="e">
        <f>VLOOKUP(O2,Lletras!$A:$B,2)-1</f>
        <v>#N/A</v>
      </c>
      <c r="S2" s="3" t="e">
        <f>VLOOKUP(P2,Lletras!$A:$B,2)-1</f>
        <v>#N/A</v>
      </c>
      <c r="T2" s="7" t="e">
        <f t="shared" ref="T2" si="0">(S2*20^0+R2*20^1+Q2*20^2)*10000</f>
        <v>#N/A</v>
      </c>
      <c r="U2" s="7" t="e">
        <f t="shared" ref="U2:U22" si="1">T2-T3</f>
        <v>#N/A</v>
      </c>
      <c r="V2" s="7"/>
    </row>
    <row r="3" spans="1:22" ht="15" customHeight="1" x14ac:dyDescent="0.25">
      <c r="A3" s="20">
        <v>2021</v>
      </c>
      <c r="B3" s="13" t="s">
        <v>20</v>
      </c>
      <c r="C3" s="14" t="s">
        <v>21</v>
      </c>
      <c r="D3" s="15" t="s">
        <v>22</v>
      </c>
      <c r="E3" s="14" t="s">
        <v>23</v>
      </c>
      <c r="F3" s="14" t="s">
        <v>24</v>
      </c>
      <c r="G3" s="14" t="s">
        <v>25</v>
      </c>
      <c r="H3" s="13" t="s">
        <v>26</v>
      </c>
      <c r="I3" s="14" t="s">
        <v>27</v>
      </c>
      <c r="J3" s="15" t="s">
        <v>28</v>
      </c>
      <c r="K3" s="14" t="s">
        <v>29</v>
      </c>
      <c r="L3" s="14" t="s">
        <v>30</v>
      </c>
      <c r="M3" s="15" t="s">
        <v>31</v>
      </c>
      <c r="N3" s="2" t="str">
        <f>LEFT(M3,1)</f>
        <v>L</v>
      </c>
      <c r="O3" s="2" t="str">
        <f>RIGHT(LEFT(M3,2),1)</f>
        <v>V</v>
      </c>
      <c r="P3" s="2" t="str">
        <f>RIGHT(M3,1)</f>
        <v>V</v>
      </c>
      <c r="Q3" s="2">
        <f>VLOOKUP(N3,Lletras!$A:$B,2)-1</f>
        <v>8</v>
      </c>
      <c r="R3" s="2">
        <f>VLOOKUP(O3,Lletras!$A:$B,2)-1</f>
        <v>15</v>
      </c>
      <c r="S3" s="2">
        <f>VLOOKUP(P3,Lletras!$A:$B,2)-1</f>
        <v>15</v>
      </c>
      <c r="T3" s="8">
        <f t="shared" ref="T3:T22" si="2">(S3*20^0+R3*20^1+Q3*20^2)*10000</f>
        <v>35150000</v>
      </c>
      <c r="U3" s="8">
        <f t="shared" si="1"/>
        <v>1340000</v>
      </c>
      <c r="V3" s="8"/>
    </row>
    <row r="4" spans="1:22" ht="15" customHeight="1" x14ac:dyDescent="0.25">
      <c r="A4" s="20">
        <v>2020</v>
      </c>
      <c r="B4" s="10" t="s">
        <v>32</v>
      </c>
      <c r="C4" s="11" t="s">
        <v>33</v>
      </c>
      <c r="D4" s="12" t="s">
        <v>34</v>
      </c>
      <c r="E4" s="11" t="s">
        <v>35</v>
      </c>
      <c r="F4" s="11" t="s">
        <v>36</v>
      </c>
      <c r="G4" s="11" t="s">
        <v>37</v>
      </c>
      <c r="H4" s="10" t="s">
        <v>38</v>
      </c>
      <c r="I4" s="11" t="s">
        <v>39</v>
      </c>
      <c r="J4" s="12" t="s">
        <v>40</v>
      </c>
      <c r="K4" s="11" t="s">
        <v>41</v>
      </c>
      <c r="L4" s="11" t="s">
        <v>42</v>
      </c>
      <c r="M4" s="12" t="s">
        <v>43</v>
      </c>
      <c r="N4" s="3" t="str">
        <f>LEFT(M4,1)</f>
        <v>L</v>
      </c>
      <c r="O4" s="3" t="str">
        <f>RIGHT(LEFT(M4,2),1)</f>
        <v>M</v>
      </c>
      <c r="P4" s="3" t="str">
        <f>RIGHT(M4,1)</f>
        <v>C</v>
      </c>
      <c r="Q4" s="3">
        <f>VLOOKUP(N4,Lletras!$A:$B,2)-1</f>
        <v>8</v>
      </c>
      <c r="R4" s="3">
        <f>VLOOKUP(O4,Lletras!$A:$B,2)-1</f>
        <v>9</v>
      </c>
      <c r="S4" s="3">
        <f>VLOOKUP(P4,Lletras!$A:$B,2)-1</f>
        <v>1</v>
      </c>
      <c r="T4" s="7">
        <f t="shared" si="2"/>
        <v>33810000</v>
      </c>
      <c r="U4" s="7">
        <f t="shared" si="1"/>
        <v>1290000</v>
      </c>
      <c r="V4" s="7">
        <v>1283546</v>
      </c>
    </row>
    <row r="5" spans="1:22" ht="15" customHeight="1" x14ac:dyDescent="0.25">
      <c r="A5" s="27">
        <v>2019</v>
      </c>
      <c r="B5" s="28" t="s">
        <v>44</v>
      </c>
      <c r="C5" s="29" t="s">
        <v>45</v>
      </c>
      <c r="D5" s="30" t="s">
        <v>46</v>
      </c>
      <c r="E5" s="29" t="s">
        <v>47</v>
      </c>
      <c r="F5" s="29" t="s">
        <v>48</v>
      </c>
      <c r="G5" s="29" t="s">
        <v>49</v>
      </c>
      <c r="H5" s="28" t="s">
        <v>50</v>
      </c>
      <c r="I5" s="29" t="s">
        <v>51</v>
      </c>
      <c r="J5" s="30" t="s">
        <v>52</v>
      </c>
      <c r="K5" s="29" t="s">
        <v>53</v>
      </c>
      <c r="L5" s="29" t="s">
        <v>54</v>
      </c>
      <c r="M5" s="30" t="s">
        <v>55</v>
      </c>
      <c r="N5" s="31" t="str">
        <f>LEFT(M5,1)</f>
        <v>L</v>
      </c>
      <c r="O5" s="31" t="str">
        <f>RIGHT(LEFT(M5,2),1)</f>
        <v>D</v>
      </c>
      <c r="P5" s="31" t="str">
        <f>RIGHT(M5,1)</f>
        <v>R</v>
      </c>
      <c r="Q5" s="31">
        <f>VLOOKUP(N5,Lletras!$A:$B,2)-1</f>
        <v>8</v>
      </c>
      <c r="R5" s="31">
        <f>VLOOKUP(O5,Lletras!$A:$B,2)-1</f>
        <v>2</v>
      </c>
      <c r="S5" s="31">
        <f>VLOOKUP(P5,Lletras!$A:$B,2)-1</f>
        <v>12</v>
      </c>
      <c r="T5" s="32">
        <f t="shared" si="2"/>
        <v>32520000</v>
      </c>
      <c r="U5" s="32">
        <f t="shared" si="1"/>
        <v>1790000</v>
      </c>
      <c r="V5" s="32">
        <v>1793145</v>
      </c>
    </row>
    <row r="6" spans="1:22" ht="15" customHeight="1" x14ac:dyDescent="0.25">
      <c r="A6" s="20">
        <v>2018</v>
      </c>
      <c r="B6" s="10" t="s">
        <v>56</v>
      </c>
      <c r="C6" s="11" t="s">
        <v>57</v>
      </c>
      <c r="D6" s="12" t="s">
        <v>58</v>
      </c>
      <c r="E6" s="11" t="s">
        <v>59</v>
      </c>
      <c r="F6" s="11" t="s">
        <v>60</v>
      </c>
      <c r="G6" s="11" t="s">
        <v>61</v>
      </c>
      <c r="H6" s="10" t="s">
        <v>62</v>
      </c>
      <c r="I6" s="11" t="s">
        <v>63</v>
      </c>
      <c r="J6" s="12" t="s">
        <v>64</v>
      </c>
      <c r="K6" s="11" t="s">
        <v>65</v>
      </c>
      <c r="L6" s="11" t="s">
        <v>66</v>
      </c>
      <c r="M6" s="12" t="s">
        <v>67</v>
      </c>
      <c r="N6" s="3" t="str">
        <f>LEFT(M6,1)</f>
        <v>K</v>
      </c>
      <c r="O6" s="3" t="str">
        <f>RIGHT(LEFT(M6,2),1)</f>
        <v>S</v>
      </c>
      <c r="P6" s="3" t="str">
        <f>RIGHT(M6,1)</f>
        <v>S</v>
      </c>
      <c r="Q6" s="3">
        <f>VLOOKUP(N6,Lletras!$A:$B,2)-1</f>
        <v>7</v>
      </c>
      <c r="R6" s="3">
        <f>VLOOKUP(O6,Lletras!$A:$B,2)-1</f>
        <v>13</v>
      </c>
      <c r="S6" s="3">
        <f>VLOOKUP(P6,Lletras!$A:$B,2)-1</f>
        <v>13</v>
      </c>
      <c r="T6" s="7">
        <f t="shared" si="2"/>
        <v>30730000</v>
      </c>
      <c r="U6" s="7">
        <f t="shared" si="1"/>
        <v>1830000</v>
      </c>
      <c r="V6" s="7">
        <v>1831556</v>
      </c>
    </row>
    <row r="7" spans="1:22" ht="15" customHeight="1" x14ac:dyDescent="0.25">
      <c r="A7" s="20">
        <v>2017</v>
      </c>
      <c r="B7" s="13" t="s">
        <v>68</v>
      </c>
      <c r="C7" s="14" t="s">
        <v>69</v>
      </c>
      <c r="D7" s="15" t="s">
        <v>70</v>
      </c>
      <c r="E7" s="14" t="s">
        <v>71</v>
      </c>
      <c r="F7" s="14" t="s">
        <v>72</v>
      </c>
      <c r="G7" s="14" t="s">
        <v>73</v>
      </c>
      <c r="H7" s="13" t="s">
        <v>74</v>
      </c>
      <c r="I7" s="14" t="s">
        <v>75</v>
      </c>
      <c r="J7" s="15" t="s">
        <v>76</v>
      </c>
      <c r="K7" s="14" t="s">
        <v>77</v>
      </c>
      <c r="L7" s="14" t="s">
        <v>78</v>
      </c>
      <c r="M7" s="15" t="s">
        <v>79</v>
      </c>
      <c r="N7" s="2" t="str">
        <f>LEFT(M7,1)</f>
        <v>K</v>
      </c>
      <c r="O7" s="2" t="str">
        <f>RIGHT(LEFT(M7,2),1)</f>
        <v>G</v>
      </c>
      <c r="P7" s="2" t="str">
        <f>RIGHT(M7,1)</f>
        <v>N</v>
      </c>
      <c r="Q7" s="2">
        <f>VLOOKUP(N7,Lletras!$A:$B,2)-1</f>
        <v>7</v>
      </c>
      <c r="R7" s="2">
        <f>VLOOKUP(O7,Lletras!$A:$B,2)-1</f>
        <v>4</v>
      </c>
      <c r="S7" s="2">
        <f>VLOOKUP(P7,Lletras!$A:$B,2)-1</f>
        <v>10</v>
      </c>
      <c r="T7" s="8">
        <f t="shared" si="2"/>
        <v>28900000</v>
      </c>
      <c r="U7" s="8">
        <f t="shared" si="1"/>
        <v>1710000</v>
      </c>
      <c r="V7" s="8">
        <v>1704145</v>
      </c>
    </row>
    <row r="8" spans="1:22" ht="15" customHeight="1" x14ac:dyDescent="0.25">
      <c r="A8" s="20">
        <v>2016</v>
      </c>
      <c r="B8" s="10" t="s">
        <v>80</v>
      </c>
      <c r="C8" s="11" t="s">
        <v>81</v>
      </c>
      <c r="D8" s="12" t="s">
        <v>82</v>
      </c>
      <c r="E8" s="11" t="s">
        <v>83</v>
      </c>
      <c r="F8" s="11" t="s">
        <v>84</v>
      </c>
      <c r="G8" s="11" t="s">
        <v>85</v>
      </c>
      <c r="H8" s="10" t="s">
        <v>86</v>
      </c>
      <c r="I8" s="11" t="s">
        <v>87</v>
      </c>
      <c r="J8" s="12" t="s">
        <v>88</v>
      </c>
      <c r="K8" s="11" t="s">
        <v>89</v>
      </c>
      <c r="L8" s="11" t="s">
        <v>90</v>
      </c>
      <c r="M8" s="12" t="s">
        <v>91</v>
      </c>
      <c r="N8" s="3" t="str">
        <f>LEFT(M8,1)</f>
        <v>J</v>
      </c>
      <c r="O8" s="3" t="str">
        <f>RIGHT(LEFT(M8,2),1)</f>
        <v>V</v>
      </c>
      <c r="P8" s="3" t="str">
        <f>RIGHT(M8,1)</f>
        <v>Z</v>
      </c>
      <c r="Q8" s="3">
        <f>VLOOKUP(N8,Lletras!$A:$B,2)-1</f>
        <v>6</v>
      </c>
      <c r="R8" s="3">
        <f>VLOOKUP(O8,Lletras!$A:$B,2)-1</f>
        <v>15</v>
      </c>
      <c r="S8" s="3">
        <f>VLOOKUP(P8,Lletras!$A:$B,2)-1</f>
        <v>19</v>
      </c>
      <c r="T8" s="7">
        <f t="shared" si="2"/>
        <v>27190000</v>
      </c>
      <c r="U8" s="7">
        <f t="shared" si="1"/>
        <v>1600000</v>
      </c>
      <c r="V8" s="7">
        <v>1589876</v>
      </c>
    </row>
    <row r="9" spans="1:22" ht="15" customHeight="1" x14ac:dyDescent="0.25">
      <c r="A9" s="20">
        <v>2015</v>
      </c>
      <c r="B9" s="13" t="s">
        <v>92</v>
      </c>
      <c r="C9" s="14" t="s">
        <v>93</v>
      </c>
      <c r="D9" s="15" t="s">
        <v>94</v>
      </c>
      <c r="E9" s="14" t="s">
        <v>95</v>
      </c>
      <c r="F9" s="14" t="s">
        <v>96</v>
      </c>
      <c r="G9" s="14" t="s">
        <v>97</v>
      </c>
      <c r="H9" s="13" t="s">
        <v>98</v>
      </c>
      <c r="I9" s="14" t="s">
        <v>99</v>
      </c>
      <c r="J9" s="15" t="s">
        <v>100</v>
      </c>
      <c r="K9" s="14" t="s">
        <v>101</v>
      </c>
      <c r="L9" s="14" t="s">
        <v>102</v>
      </c>
      <c r="M9" s="15" t="s">
        <v>103</v>
      </c>
      <c r="N9" s="2" t="str">
        <f>LEFT(M9,1)</f>
        <v>J</v>
      </c>
      <c r="O9" s="2" t="str">
        <f>RIGHT(LEFT(M9,2),1)</f>
        <v>K</v>
      </c>
      <c r="P9" s="2" t="str">
        <f>RIGHT(M9,1)</f>
        <v>Z</v>
      </c>
      <c r="Q9" s="2">
        <f>VLOOKUP(N9,Lletras!$A:$B,2)-1</f>
        <v>6</v>
      </c>
      <c r="R9" s="2">
        <f>VLOOKUP(O9,Lletras!$A:$B,2)-1</f>
        <v>7</v>
      </c>
      <c r="S9" s="2">
        <f>VLOOKUP(P9,Lletras!$A:$B,2)-1</f>
        <v>19</v>
      </c>
      <c r="T9" s="8">
        <f t="shared" si="2"/>
        <v>25590000</v>
      </c>
      <c r="U9" s="8">
        <f t="shared" si="1"/>
        <v>1410000</v>
      </c>
      <c r="V9" s="8">
        <v>1417173</v>
      </c>
    </row>
    <row r="10" spans="1:22" ht="15" customHeight="1" x14ac:dyDescent="0.25">
      <c r="A10" s="20">
        <v>2014</v>
      </c>
      <c r="B10" s="10" t="s">
        <v>104</v>
      </c>
      <c r="C10" s="11" t="s">
        <v>105</v>
      </c>
      <c r="D10" s="12" t="s">
        <v>106</v>
      </c>
      <c r="E10" s="11" t="s">
        <v>107</v>
      </c>
      <c r="F10" s="11" t="s">
        <v>108</v>
      </c>
      <c r="G10" s="11" t="s">
        <v>109</v>
      </c>
      <c r="H10" s="10" t="s">
        <v>110</v>
      </c>
      <c r="I10" s="11" t="s">
        <v>111</v>
      </c>
      <c r="J10" s="12" t="s">
        <v>112</v>
      </c>
      <c r="K10" s="11" t="s">
        <v>113</v>
      </c>
      <c r="L10" s="3" t="s">
        <v>114</v>
      </c>
      <c r="M10" s="4" t="s">
        <v>115</v>
      </c>
      <c r="N10" s="3" t="str">
        <f>LEFT(M10,1)</f>
        <v>J</v>
      </c>
      <c r="O10" s="3" t="str">
        <f>RIGHT(LEFT(M10,2),1)</f>
        <v>B</v>
      </c>
      <c r="P10" s="3" t="str">
        <f>RIGHT(M10,1)</f>
        <v>Y</v>
      </c>
      <c r="Q10" s="3">
        <f>VLOOKUP(N10,Lletras!$A:$B,2)-1</f>
        <v>6</v>
      </c>
      <c r="R10" s="3">
        <f>VLOOKUP(O10,Lletras!$A:$B,2)-1</f>
        <v>0</v>
      </c>
      <c r="S10" s="3">
        <f>VLOOKUP(P10,Lletras!$A:$B,2)-1</f>
        <v>18</v>
      </c>
      <c r="T10" s="7">
        <f t="shared" si="2"/>
        <v>24180000</v>
      </c>
      <c r="U10" s="7">
        <f t="shared" si="1"/>
        <v>1150000</v>
      </c>
      <c r="V10" s="7">
        <v>1146125</v>
      </c>
    </row>
    <row r="11" spans="1:22" ht="15" customHeight="1" x14ac:dyDescent="0.25">
      <c r="A11" s="20">
        <v>2013</v>
      </c>
      <c r="B11" s="13" t="s">
        <v>116</v>
      </c>
      <c r="C11" s="14" t="s">
        <v>117</v>
      </c>
      <c r="D11" s="15" t="s">
        <v>118</v>
      </c>
      <c r="E11" s="14" t="s">
        <v>119</v>
      </c>
      <c r="F11" s="14" t="s">
        <v>120</v>
      </c>
      <c r="G11" s="14" t="s">
        <v>121</v>
      </c>
      <c r="H11" s="13" t="s">
        <v>122</v>
      </c>
      <c r="I11" s="14" t="s">
        <v>123</v>
      </c>
      <c r="J11" s="15" t="s">
        <v>124</v>
      </c>
      <c r="K11" s="14" t="s">
        <v>125</v>
      </c>
      <c r="L11" s="14" t="s">
        <v>126</v>
      </c>
      <c r="M11" s="15" t="s">
        <v>127</v>
      </c>
      <c r="N11" s="2" t="str">
        <f>LEFT(M11,1)</f>
        <v>H</v>
      </c>
      <c r="O11" s="2" t="str">
        <f>RIGHT(LEFT(M11,2),1)</f>
        <v>V</v>
      </c>
      <c r="P11" s="2" t="str">
        <f>RIGHT(M11,1)</f>
        <v>F</v>
      </c>
      <c r="Q11" s="2">
        <f>VLOOKUP(N11,Lletras!$A:$B,2)-1</f>
        <v>5</v>
      </c>
      <c r="R11" s="2">
        <f>VLOOKUP(O11,Lletras!$A:$B,2)-1</f>
        <v>15</v>
      </c>
      <c r="S11" s="2">
        <f>VLOOKUP(P11,Lletras!$A:$B,2)-1</f>
        <v>3</v>
      </c>
      <c r="T11" s="8">
        <f t="shared" si="2"/>
        <v>23030000</v>
      </c>
      <c r="U11" s="8">
        <f t="shared" si="1"/>
        <v>960000</v>
      </c>
      <c r="V11" s="8">
        <v>949015</v>
      </c>
    </row>
    <row r="12" spans="1:22" ht="15" customHeight="1" x14ac:dyDescent="0.25">
      <c r="A12" s="20">
        <v>2012</v>
      </c>
      <c r="B12" s="10" t="s">
        <v>128</v>
      </c>
      <c r="C12" s="11" t="s">
        <v>129</v>
      </c>
      <c r="D12" s="12" t="s">
        <v>130</v>
      </c>
      <c r="E12" s="11" t="s">
        <v>131</v>
      </c>
      <c r="F12" s="11" t="s">
        <v>132</v>
      </c>
      <c r="G12" s="11" t="s">
        <v>133</v>
      </c>
      <c r="H12" s="10" t="s">
        <v>134</v>
      </c>
      <c r="I12" s="11" t="s">
        <v>135</v>
      </c>
      <c r="J12" s="12" t="s">
        <v>136</v>
      </c>
      <c r="K12" s="11" t="s">
        <v>137</v>
      </c>
      <c r="L12" s="11" t="s">
        <v>138</v>
      </c>
      <c r="M12" s="12" t="s">
        <v>139</v>
      </c>
      <c r="N12" s="3" t="str">
        <f>LEFT(M12,1)</f>
        <v>H</v>
      </c>
      <c r="O12" s="3" t="str">
        <f>RIGHT(LEFT(M12,2),1)</f>
        <v>N</v>
      </c>
      <c r="P12" s="3" t="str">
        <f>RIGHT(M12,1)</f>
        <v>K</v>
      </c>
      <c r="Q12" s="3">
        <f>VLOOKUP(N12,Lletras!$A:$B,2)-1</f>
        <v>5</v>
      </c>
      <c r="R12" s="3">
        <f>VLOOKUP(O12,Lletras!$A:$B,2)-1</f>
        <v>10</v>
      </c>
      <c r="S12" s="3">
        <f>VLOOKUP(P12,Lletras!$A:$B,2)-1</f>
        <v>7</v>
      </c>
      <c r="T12" s="7">
        <f t="shared" si="2"/>
        <v>22070000</v>
      </c>
      <c r="U12" s="7">
        <f t="shared" si="1"/>
        <v>930000</v>
      </c>
      <c r="V12" s="7">
        <v>924310</v>
      </c>
    </row>
    <row r="13" spans="1:22" ht="15" customHeight="1" x14ac:dyDescent="0.25">
      <c r="A13" s="20">
        <v>2011</v>
      </c>
      <c r="B13" s="13" t="s">
        <v>140</v>
      </c>
      <c r="C13" s="14" t="s">
        <v>141</v>
      </c>
      <c r="D13" s="15" t="s">
        <v>142</v>
      </c>
      <c r="E13" s="14" t="s">
        <v>143</v>
      </c>
      <c r="F13" s="14" t="s">
        <v>144</v>
      </c>
      <c r="G13" s="14" t="s">
        <v>145</v>
      </c>
      <c r="H13" s="13" t="s">
        <v>146</v>
      </c>
      <c r="I13" s="14" t="s">
        <v>147</v>
      </c>
      <c r="J13" s="15" t="s">
        <v>148</v>
      </c>
      <c r="K13" s="14" t="s">
        <v>149</v>
      </c>
      <c r="L13" s="14" t="s">
        <v>150</v>
      </c>
      <c r="M13" s="15" t="s">
        <v>151</v>
      </c>
      <c r="N13" s="2" t="str">
        <f>LEFT(M13,1)</f>
        <v>H</v>
      </c>
      <c r="O13" s="2" t="str">
        <f>RIGHT(LEFT(M13,2),1)</f>
        <v>H</v>
      </c>
      <c r="P13" s="2" t="str">
        <f>RIGHT(M13,1)</f>
        <v>T</v>
      </c>
      <c r="Q13" s="2">
        <f>VLOOKUP(N13,Lletras!$A:$B,2)-1</f>
        <v>5</v>
      </c>
      <c r="R13" s="2">
        <f>VLOOKUP(O13,Lletras!$A:$B,2)-1</f>
        <v>5</v>
      </c>
      <c r="S13" s="2">
        <f>VLOOKUP(P13,Lletras!$A:$B,2)-1</f>
        <v>14</v>
      </c>
      <c r="T13" s="8">
        <f t="shared" si="2"/>
        <v>21140000</v>
      </c>
      <c r="U13" s="8">
        <f t="shared" si="1"/>
        <v>1100000</v>
      </c>
      <c r="V13" s="8">
        <v>1091511</v>
      </c>
    </row>
    <row r="14" spans="1:22" ht="15" customHeight="1" x14ac:dyDescent="0.25">
      <c r="A14" s="21">
        <v>2010</v>
      </c>
      <c r="B14" s="17" t="s">
        <v>152</v>
      </c>
      <c r="C14" s="18" t="s">
        <v>153</v>
      </c>
      <c r="D14" s="19" t="s">
        <v>154</v>
      </c>
      <c r="E14" s="18" t="s">
        <v>155</v>
      </c>
      <c r="F14" s="18" t="s">
        <v>156</v>
      </c>
      <c r="G14" s="18" t="s">
        <v>157</v>
      </c>
      <c r="H14" s="17" t="s">
        <v>158</v>
      </c>
      <c r="I14" s="18" t="s">
        <v>159</v>
      </c>
      <c r="J14" s="19" t="s">
        <v>160</v>
      </c>
      <c r="K14" s="18" t="s">
        <v>161</v>
      </c>
      <c r="L14" s="18" t="s">
        <v>162</v>
      </c>
      <c r="M14" s="19" t="s">
        <v>163</v>
      </c>
      <c r="N14" s="5" t="str">
        <f>LEFT(M14,1)</f>
        <v>H</v>
      </c>
      <c r="O14" s="5" t="str">
        <f>RIGHT(LEFT(M14,2),1)</f>
        <v>B</v>
      </c>
      <c r="P14" s="5" t="str">
        <f>RIGHT(M14,1)</f>
        <v>G</v>
      </c>
      <c r="Q14" s="5">
        <f>VLOOKUP(N14,Lletras!$A:$B,2)-1</f>
        <v>5</v>
      </c>
      <c r="R14" s="5">
        <f>VLOOKUP(O14,Lletras!$A:$B,2)-1</f>
        <v>0</v>
      </c>
      <c r="S14" s="5">
        <f>VLOOKUP(P14,Lletras!$A:$B,2)-1</f>
        <v>4</v>
      </c>
      <c r="T14" s="9">
        <f t="shared" si="2"/>
        <v>20040000</v>
      </c>
      <c r="U14" s="9">
        <f t="shared" si="1"/>
        <v>1320000</v>
      </c>
      <c r="V14" s="9">
        <v>1298809</v>
      </c>
    </row>
    <row r="15" spans="1:22" ht="15" customHeight="1" x14ac:dyDescent="0.25">
      <c r="A15" s="27">
        <v>2009</v>
      </c>
      <c r="B15" s="28" t="s">
        <v>164</v>
      </c>
      <c r="C15" s="29" t="s">
        <v>165</v>
      </c>
      <c r="D15" s="30" t="s">
        <v>166</v>
      </c>
      <c r="E15" s="29" t="s">
        <v>167</v>
      </c>
      <c r="F15" s="29" t="s">
        <v>168</v>
      </c>
      <c r="G15" s="29" t="s">
        <v>169</v>
      </c>
      <c r="H15" s="28" t="s">
        <v>170</v>
      </c>
      <c r="I15" s="29" t="s">
        <v>171</v>
      </c>
      <c r="J15" s="30" t="s">
        <v>172</v>
      </c>
      <c r="K15" s="29" t="s">
        <v>173</v>
      </c>
      <c r="L15" s="29" t="s">
        <v>174</v>
      </c>
      <c r="M15" s="30" t="s">
        <v>175</v>
      </c>
      <c r="N15" s="31" t="str">
        <f>LEFT(M15,1)</f>
        <v>G</v>
      </c>
      <c r="O15" s="31" t="str">
        <f>RIGHT(LEFT(M15,2),1)</f>
        <v>S</v>
      </c>
      <c r="P15" s="31" t="str">
        <f>RIGHT(M15,1)</f>
        <v>R</v>
      </c>
      <c r="Q15" s="31">
        <f>VLOOKUP(N15,Lletras!$A:$B,2)-1</f>
        <v>4</v>
      </c>
      <c r="R15" s="31">
        <f>VLOOKUP(O15,Lletras!$A:$B,2)-1</f>
        <v>13</v>
      </c>
      <c r="S15" s="31">
        <f>VLOOKUP(P15,Lletras!$A:$B,2)-1</f>
        <v>12</v>
      </c>
      <c r="T15" s="32">
        <f t="shared" si="2"/>
        <v>18720000</v>
      </c>
      <c r="U15" s="32">
        <f t="shared" si="1"/>
        <v>1270000</v>
      </c>
      <c r="V15" s="32">
        <v>1258781</v>
      </c>
    </row>
    <row r="16" spans="1:22" ht="15" customHeight="1" x14ac:dyDescent="0.25">
      <c r="A16" s="20">
        <v>2008</v>
      </c>
      <c r="B16" s="10" t="s">
        <v>176</v>
      </c>
      <c r="C16" s="3" t="s">
        <v>177</v>
      </c>
      <c r="D16" s="44" t="s">
        <v>178</v>
      </c>
      <c r="E16" s="11" t="s">
        <v>179</v>
      </c>
      <c r="F16" s="11" t="s">
        <v>180</v>
      </c>
      <c r="G16" s="11" t="s">
        <v>181</v>
      </c>
      <c r="H16" s="10" t="s">
        <v>182</v>
      </c>
      <c r="I16" s="11" t="s">
        <v>183</v>
      </c>
      <c r="J16" s="12" t="s">
        <v>184</v>
      </c>
      <c r="K16" s="11" t="s">
        <v>185</v>
      </c>
      <c r="L16" s="11" t="s">
        <v>186</v>
      </c>
      <c r="M16" s="12" t="s">
        <v>187</v>
      </c>
      <c r="N16" s="3" t="str">
        <f>LEFT(M16,1)</f>
        <v>G</v>
      </c>
      <c r="O16" s="3" t="str">
        <f>RIGHT(LEFT(M16,2),1)</f>
        <v>K</v>
      </c>
      <c r="P16" s="3" t="str">
        <f>RIGHT(M16,1)</f>
        <v>H</v>
      </c>
      <c r="Q16" s="3">
        <f>VLOOKUP(N16,Lletras!$A:$B,2)-1</f>
        <v>4</v>
      </c>
      <c r="R16" s="3">
        <f>VLOOKUP(O16,Lletras!$A:$B,2)-1</f>
        <v>7</v>
      </c>
      <c r="S16" s="3">
        <f>VLOOKUP(P16,Lletras!$A:$B,2)-1</f>
        <v>5</v>
      </c>
      <c r="T16" s="7">
        <f t="shared" si="2"/>
        <v>17450000</v>
      </c>
      <c r="U16" s="7">
        <f t="shared" si="1"/>
        <v>1670000</v>
      </c>
      <c r="V16" s="7">
        <v>1651013</v>
      </c>
    </row>
    <row r="17" spans="1:22" ht="15" customHeight="1" x14ac:dyDescent="0.25">
      <c r="A17" s="20">
        <v>2007</v>
      </c>
      <c r="B17" s="13" t="s">
        <v>188</v>
      </c>
      <c r="C17" s="14" t="s">
        <v>189</v>
      </c>
      <c r="D17" s="15" t="s">
        <v>190</v>
      </c>
      <c r="E17" s="14" t="s">
        <v>191</v>
      </c>
      <c r="F17" s="14" t="s">
        <v>192</v>
      </c>
      <c r="G17" s="14" t="s">
        <v>193</v>
      </c>
      <c r="H17" s="13" t="s">
        <v>194</v>
      </c>
      <c r="I17" s="14" t="s">
        <v>195</v>
      </c>
      <c r="J17" s="15" t="s">
        <v>196</v>
      </c>
      <c r="K17" s="14" t="s">
        <v>197</v>
      </c>
      <c r="L17" s="14" t="s">
        <v>198</v>
      </c>
      <c r="M17" s="15" t="s">
        <v>199</v>
      </c>
      <c r="N17" s="2" t="str">
        <f>LEFT(M17,1)</f>
        <v>F</v>
      </c>
      <c r="O17" s="2" t="str">
        <f>RIGHT(LEFT(M17,2),1)</f>
        <v>Y</v>
      </c>
      <c r="P17" s="2" t="str">
        <f>RIGHT(M17,1)</f>
        <v>Y</v>
      </c>
      <c r="Q17" s="2">
        <f>VLOOKUP(N17,Lletras!$A:$B,2)-1</f>
        <v>3</v>
      </c>
      <c r="R17" s="2">
        <f>VLOOKUP(O17,Lletras!$A:$B,2)-1</f>
        <v>18</v>
      </c>
      <c r="S17" s="2">
        <f>VLOOKUP(P17,Lletras!$A:$B,2)-1</f>
        <v>18</v>
      </c>
      <c r="T17" s="8">
        <f t="shared" si="2"/>
        <v>15780000</v>
      </c>
      <c r="U17" s="8">
        <f t="shared" si="1"/>
        <v>2370000</v>
      </c>
      <c r="V17" s="48">
        <v>2350000</v>
      </c>
    </row>
    <row r="18" spans="1:22" ht="15" customHeight="1" x14ac:dyDescent="0.25">
      <c r="A18" s="20">
        <v>2006</v>
      </c>
      <c r="B18" s="10" t="s">
        <v>200</v>
      </c>
      <c r="C18" s="11" t="s">
        <v>201</v>
      </c>
      <c r="D18" s="12" t="s">
        <v>202</v>
      </c>
      <c r="E18" s="11" t="s">
        <v>203</v>
      </c>
      <c r="F18" s="3" t="s">
        <v>204</v>
      </c>
      <c r="G18" s="11" t="s">
        <v>205</v>
      </c>
      <c r="H18" s="10" t="s">
        <v>206</v>
      </c>
      <c r="I18" s="11" t="s">
        <v>207</v>
      </c>
      <c r="J18" s="12" t="s">
        <v>208</v>
      </c>
      <c r="K18" s="11" t="s">
        <v>209</v>
      </c>
      <c r="L18" s="11" t="s">
        <v>210</v>
      </c>
      <c r="M18" s="12" t="s">
        <v>211</v>
      </c>
      <c r="N18" s="3" t="str">
        <f>LEFT(M18,1)</f>
        <v>F</v>
      </c>
      <c r="O18" s="3" t="str">
        <f>RIGHT(LEFT(M18,2),1)</f>
        <v>K</v>
      </c>
      <c r="P18" s="3" t="str">
        <f>RIGHT(M18,1)</f>
        <v>C</v>
      </c>
      <c r="Q18" s="3">
        <f>VLOOKUP(N18,Lletras!$A:$B,2)-1</f>
        <v>3</v>
      </c>
      <c r="R18" s="3">
        <f>VLOOKUP(O18,Lletras!$A:$B,2)-1</f>
        <v>7</v>
      </c>
      <c r="S18" s="3">
        <f>VLOOKUP(P18,Lletras!$A:$B,2)-1</f>
        <v>1</v>
      </c>
      <c r="T18" s="7">
        <f t="shared" si="2"/>
        <v>13410000</v>
      </c>
      <c r="U18" s="7">
        <f t="shared" si="1"/>
        <v>2410000</v>
      </c>
      <c r="V18" s="49">
        <v>2364656</v>
      </c>
    </row>
    <row r="19" spans="1:22" ht="15" customHeight="1" x14ac:dyDescent="0.25">
      <c r="A19" s="20">
        <v>2005</v>
      </c>
      <c r="B19" s="16" t="s">
        <v>212</v>
      </c>
      <c r="C19" s="14" t="s">
        <v>213</v>
      </c>
      <c r="D19" s="15" t="s">
        <v>214</v>
      </c>
      <c r="E19" s="14" t="s">
        <v>215</v>
      </c>
      <c r="F19" s="14" t="s">
        <v>216</v>
      </c>
      <c r="G19" s="14" t="s">
        <v>217</v>
      </c>
      <c r="H19" s="13" t="s">
        <v>218</v>
      </c>
      <c r="I19" s="14" t="s">
        <v>219</v>
      </c>
      <c r="J19" s="15" t="s">
        <v>220</v>
      </c>
      <c r="K19" s="14" t="s">
        <v>221</v>
      </c>
      <c r="L19" s="14" t="s">
        <v>222</v>
      </c>
      <c r="M19" s="15" t="s">
        <v>223</v>
      </c>
      <c r="N19" s="2" t="str">
        <f>LEFT(M19,1)</f>
        <v>D</v>
      </c>
      <c r="O19" s="2" t="str">
        <f>RIGHT(LEFT(M19,2),1)</f>
        <v>V</v>
      </c>
      <c r="P19" s="2" t="str">
        <f>RIGHT(M19,1)</f>
        <v>B</v>
      </c>
      <c r="Q19" s="2">
        <f>VLOOKUP(N19,Lletras!$A:$B,2)-1</f>
        <v>2</v>
      </c>
      <c r="R19" s="2">
        <f>VLOOKUP(O19,Lletras!$A:$B,2)-1</f>
        <v>15</v>
      </c>
      <c r="S19" s="2">
        <f>VLOOKUP(P19,Lletras!$A:$B,2)-1</f>
        <v>0</v>
      </c>
      <c r="T19" s="8">
        <f t="shared" si="2"/>
        <v>11000000</v>
      </c>
      <c r="U19" s="8">
        <f t="shared" si="1"/>
        <v>2370000</v>
      </c>
      <c r="V19" s="8">
        <v>2319590</v>
      </c>
    </row>
    <row r="20" spans="1:22" ht="15" customHeight="1" x14ac:dyDescent="0.25">
      <c r="A20" s="20">
        <v>2004</v>
      </c>
      <c r="B20" s="10" t="s">
        <v>224</v>
      </c>
      <c r="C20" s="11" t="s">
        <v>225</v>
      </c>
      <c r="D20" s="12" t="s">
        <v>226</v>
      </c>
      <c r="E20" s="11" t="s">
        <v>227</v>
      </c>
      <c r="F20" s="11" t="s">
        <v>228</v>
      </c>
      <c r="G20" s="11" t="s">
        <v>229</v>
      </c>
      <c r="H20" s="10" t="s">
        <v>230</v>
      </c>
      <c r="I20" s="11" t="s">
        <v>231</v>
      </c>
      <c r="J20" s="4" t="s">
        <v>232</v>
      </c>
      <c r="K20" s="11" t="s">
        <v>233</v>
      </c>
      <c r="L20" s="11" t="s">
        <v>234</v>
      </c>
      <c r="M20" s="12" t="s">
        <v>235</v>
      </c>
      <c r="N20" s="3" t="str">
        <f>LEFT(M20,1)</f>
        <v>D</v>
      </c>
      <c r="O20" s="3" t="str">
        <f>RIGHT(LEFT(M20,2),1)</f>
        <v>F</v>
      </c>
      <c r="P20" s="3" t="str">
        <f>RIGHT(M20,1)</f>
        <v>F</v>
      </c>
      <c r="Q20" s="3">
        <f>VLOOKUP(N20,Lletras!$A:$B,2)-1</f>
        <v>2</v>
      </c>
      <c r="R20" s="3">
        <f>VLOOKUP(O20,Lletras!$A:$B,2)-1</f>
        <v>3</v>
      </c>
      <c r="S20" s="3">
        <f>VLOOKUP(P20,Lletras!$A:$B,2)-1</f>
        <v>3</v>
      </c>
      <c r="T20" s="7">
        <f t="shared" si="2"/>
        <v>8630000</v>
      </c>
      <c r="U20" s="7">
        <f t="shared" si="1"/>
        <v>2220000</v>
      </c>
      <c r="V20" s="7">
        <v>2149706</v>
      </c>
    </row>
    <row r="21" spans="1:22" ht="15" customHeight="1" x14ac:dyDescent="0.25">
      <c r="A21" s="20">
        <v>2003</v>
      </c>
      <c r="B21" s="13" t="s">
        <v>236</v>
      </c>
      <c r="C21" s="14" t="s">
        <v>237</v>
      </c>
      <c r="D21" s="15" t="s">
        <v>238</v>
      </c>
      <c r="E21" s="14" t="s">
        <v>239</v>
      </c>
      <c r="F21" s="14" t="s">
        <v>240</v>
      </c>
      <c r="G21" s="14" t="s">
        <v>241</v>
      </c>
      <c r="H21" s="13" t="s">
        <v>242</v>
      </c>
      <c r="I21" s="14" t="s">
        <v>243</v>
      </c>
      <c r="J21" s="15" t="s">
        <v>244</v>
      </c>
      <c r="K21" s="14" t="s">
        <v>245</v>
      </c>
      <c r="L21" s="14" t="s">
        <v>246</v>
      </c>
      <c r="M21" s="15" t="s">
        <v>247</v>
      </c>
      <c r="N21" s="2" t="str">
        <f>LEFT(M21,1)</f>
        <v>C</v>
      </c>
      <c r="O21" s="2" t="str">
        <f>RIGHT(LEFT(M21,2),1)</f>
        <v>R</v>
      </c>
      <c r="P21" s="2" t="str">
        <f>RIGHT(M21,1)</f>
        <v>C</v>
      </c>
      <c r="Q21" s="2">
        <f>VLOOKUP(N21,Lletras!$A:$B,2)-1</f>
        <v>1</v>
      </c>
      <c r="R21" s="2">
        <f>VLOOKUP(O21,Lletras!$A:$B,2)-1</f>
        <v>12</v>
      </c>
      <c r="S21" s="2">
        <f>VLOOKUP(P21,Lletras!$A:$B,2)-1</f>
        <v>1</v>
      </c>
      <c r="T21" s="8">
        <f t="shared" si="2"/>
        <v>6410000</v>
      </c>
      <c r="U21" s="8">
        <f t="shared" si="1"/>
        <v>2000000</v>
      </c>
      <c r="V21" s="8">
        <v>1903801</v>
      </c>
    </row>
    <row r="22" spans="1:22" ht="15" customHeight="1" x14ac:dyDescent="0.25">
      <c r="A22" s="20">
        <v>2002</v>
      </c>
      <c r="B22" s="10" t="s">
        <v>248</v>
      </c>
      <c r="C22" s="11" t="s">
        <v>249</v>
      </c>
      <c r="D22" s="12" t="s">
        <v>250</v>
      </c>
      <c r="E22" s="11" t="s">
        <v>251</v>
      </c>
      <c r="F22" s="11" t="s">
        <v>252</v>
      </c>
      <c r="G22" s="11" t="s">
        <v>253</v>
      </c>
      <c r="H22" s="10" t="s">
        <v>254</v>
      </c>
      <c r="I22" s="11" t="s">
        <v>255</v>
      </c>
      <c r="J22" s="12" t="s">
        <v>256</v>
      </c>
      <c r="K22" s="3" t="s">
        <v>257</v>
      </c>
      <c r="L22" s="11" t="s">
        <v>258</v>
      </c>
      <c r="M22" s="12" t="s">
        <v>259</v>
      </c>
      <c r="N22" s="3" t="str">
        <f>LEFT(M22,1)</f>
        <v>C</v>
      </c>
      <c r="O22" s="3" t="str">
        <f>RIGHT(LEFT(M22,2),1)</f>
        <v>D</v>
      </c>
      <c r="P22" s="3" t="str">
        <f>RIGHT(M22,1)</f>
        <v>C</v>
      </c>
      <c r="Q22" s="3">
        <f>VLOOKUP(N22,Lletras!$A:$B,2)-1</f>
        <v>1</v>
      </c>
      <c r="R22" s="3">
        <f>VLOOKUP(O22,Lletras!$A:$B,2)-1</f>
        <v>2</v>
      </c>
      <c r="S22" s="3">
        <f>VLOOKUP(P22,Lletras!$A:$B,2)-1</f>
        <v>1</v>
      </c>
      <c r="T22" s="7">
        <f t="shared" si="2"/>
        <v>4410000</v>
      </c>
      <c r="U22" s="7">
        <f t="shared" si="1"/>
        <v>1870000</v>
      </c>
      <c r="V22" s="7">
        <v>1769857</v>
      </c>
    </row>
    <row r="23" spans="1:22" ht="15" customHeight="1" x14ac:dyDescent="0.25">
      <c r="A23" s="20">
        <v>2001</v>
      </c>
      <c r="B23" s="13" t="s">
        <v>260</v>
      </c>
      <c r="C23" s="14" t="s">
        <v>261</v>
      </c>
      <c r="D23" s="15" t="s">
        <v>262</v>
      </c>
      <c r="E23" s="14" t="s">
        <v>263</v>
      </c>
      <c r="F23" s="14" t="s">
        <v>264</v>
      </c>
      <c r="G23" s="14" t="s">
        <v>265</v>
      </c>
      <c r="H23" s="13" t="s">
        <v>266</v>
      </c>
      <c r="I23" s="14" t="s">
        <v>267</v>
      </c>
      <c r="J23" s="15" t="s">
        <v>268</v>
      </c>
      <c r="K23" s="14" t="s">
        <v>269</v>
      </c>
      <c r="L23" s="14" t="s">
        <v>270</v>
      </c>
      <c r="M23" s="15" t="s">
        <v>271</v>
      </c>
      <c r="N23" s="2" t="str">
        <f>LEFT(M23,1)</f>
        <v>B</v>
      </c>
      <c r="O23" s="2" t="str">
        <f>RIGHT(LEFT(M23,2),1)</f>
        <v>R</v>
      </c>
      <c r="P23" s="2" t="str">
        <f>RIGHT(M23,1)</f>
        <v>T</v>
      </c>
      <c r="Q23" s="2">
        <f>VLOOKUP(N23,Lletras!$A:$B,2)-1</f>
        <v>0</v>
      </c>
      <c r="R23" s="2">
        <f>VLOOKUP(O23,Lletras!$A:$B,2)-1</f>
        <v>12</v>
      </c>
      <c r="S23" s="2">
        <f>VLOOKUP(P23,Lletras!$A:$B,2)-1</f>
        <v>14</v>
      </c>
      <c r="T23" s="8">
        <f>(S23*20^0+R23*20^1+Q23*20^2)*10000</f>
        <v>2540000</v>
      </c>
      <c r="U23" s="8">
        <f>T23-T24</f>
        <v>2020000</v>
      </c>
      <c r="V23" s="8">
        <v>1875909</v>
      </c>
    </row>
    <row r="24" spans="1:22" ht="15" customHeight="1" x14ac:dyDescent="0.25">
      <c r="A24" s="21">
        <v>2000</v>
      </c>
      <c r="B24" s="17"/>
      <c r="C24" s="18"/>
      <c r="D24" s="19"/>
      <c r="E24" s="18"/>
      <c r="F24" s="18"/>
      <c r="G24" s="18"/>
      <c r="H24" s="17"/>
      <c r="I24" s="18"/>
      <c r="J24" s="6" t="s">
        <v>272</v>
      </c>
      <c r="K24" s="18" t="s">
        <v>273</v>
      </c>
      <c r="L24" s="18" t="s">
        <v>274</v>
      </c>
      <c r="M24" s="19" t="s">
        <v>275</v>
      </c>
      <c r="N24" s="5" t="str">
        <f>LEFT(M24,1)</f>
        <v>B</v>
      </c>
      <c r="O24" s="5" t="str">
        <f>RIGHT(LEFT(M24,2),1)</f>
        <v>D</v>
      </c>
      <c r="P24" s="5" t="str">
        <f>RIGHT(M24,1)</f>
        <v>R</v>
      </c>
      <c r="Q24" s="5">
        <f>VLOOKUP(N24,Lletras!$A:$B,2)-1</f>
        <v>0</v>
      </c>
      <c r="R24" s="5">
        <f>VLOOKUP(O24,Lletras!$A:$B,2)-1</f>
        <v>2</v>
      </c>
      <c r="S24" s="5">
        <f>VLOOKUP(P24,Lletras!$A:$B,2)-1</f>
        <v>12</v>
      </c>
      <c r="T24" s="9">
        <f>(S24*20^0+R24*20^1+Q24*20^2)*10000</f>
        <v>520000</v>
      </c>
      <c r="U24" s="9">
        <f>T24</f>
        <v>520000</v>
      </c>
      <c r="V24" s="50">
        <v>1870262</v>
      </c>
    </row>
  </sheetData>
  <mergeCells count="1">
    <mergeCell ref="N1:S1"/>
  </mergeCells>
  <hyperlinks>
    <hyperlink ref="J5" r:id="rId1" display="https://matriculasdelmundo.com/fechamatricula.php"/>
    <hyperlink ref="G7" r:id="rId2" display="https://matriculasdelmundo.com/fechamatricula.php"/>
    <hyperlink ref="A1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9"/>
  <sheetViews>
    <sheetView workbookViewId="0">
      <pane ySplit="1" topLeftCell="A2" activePane="bottomLeft" state="frozen"/>
      <selection pane="bottomLeft" activeCell="A29" sqref="A29"/>
    </sheetView>
  </sheetViews>
  <sheetFormatPr baseColWidth="10" defaultRowHeight="15" x14ac:dyDescent="0.25"/>
  <cols>
    <col min="1" max="3" width="5.7109375" customWidth="1"/>
  </cols>
  <sheetData>
    <row r="1" spans="1:3" x14ac:dyDescent="0.25">
      <c r="A1" s="37" t="s">
        <v>305</v>
      </c>
      <c r="B1" s="34" t="s">
        <v>280</v>
      </c>
      <c r="C1" s="40" t="s">
        <v>310</v>
      </c>
    </row>
    <row r="2" spans="1:3" s="33" customFormat="1" hidden="1" x14ac:dyDescent="0.25">
      <c r="A2" s="41" t="s">
        <v>277</v>
      </c>
      <c r="B2" s="43"/>
      <c r="C2" s="42" t="s">
        <v>291</v>
      </c>
    </row>
    <row r="3" spans="1:3" x14ac:dyDescent="0.25">
      <c r="A3" s="38" t="s">
        <v>278</v>
      </c>
      <c r="B3" s="35">
        <v>1</v>
      </c>
      <c r="C3" s="4"/>
    </row>
    <row r="4" spans="1:3" x14ac:dyDescent="0.25">
      <c r="A4" s="38" t="s">
        <v>279</v>
      </c>
      <c r="B4" s="35">
        <v>2</v>
      </c>
      <c r="C4" s="4"/>
    </row>
    <row r="5" spans="1:3" x14ac:dyDescent="0.25">
      <c r="A5" s="38" t="s">
        <v>281</v>
      </c>
      <c r="B5" s="35">
        <v>3</v>
      </c>
      <c r="C5" s="4"/>
    </row>
    <row r="6" spans="1:3" s="33" customFormat="1" hidden="1" x14ac:dyDescent="0.25">
      <c r="A6" s="41" t="s">
        <v>282</v>
      </c>
      <c r="B6" s="43"/>
      <c r="C6" s="42" t="s">
        <v>291</v>
      </c>
    </row>
    <row r="7" spans="1:3" x14ac:dyDescent="0.25">
      <c r="A7" s="38" t="s">
        <v>283</v>
      </c>
      <c r="B7" s="35">
        <v>4</v>
      </c>
      <c r="C7" s="4"/>
    </row>
    <row r="8" spans="1:3" x14ac:dyDescent="0.25">
      <c r="A8" s="38" t="s">
        <v>284</v>
      </c>
      <c r="B8" s="35">
        <v>5</v>
      </c>
      <c r="C8" s="4"/>
    </row>
    <row r="9" spans="1:3" x14ac:dyDescent="0.25">
      <c r="A9" s="38" t="s">
        <v>285</v>
      </c>
      <c r="B9" s="35">
        <v>6</v>
      </c>
      <c r="C9" s="4"/>
    </row>
    <row r="10" spans="1:3" s="33" customFormat="1" hidden="1" x14ac:dyDescent="0.25">
      <c r="A10" s="41" t="s">
        <v>286</v>
      </c>
      <c r="B10" s="43"/>
      <c r="C10" s="42" t="s">
        <v>291</v>
      </c>
    </row>
    <row r="11" spans="1:3" x14ac:dyDescent="0.25">
      <c r="A11" s="38" t="s">
        <v>287</v>
      </c>
      <c r="B11" s="35">
        <v>7</v>
      </c>
      <c r="C11" s="4"/>
    </row>
    <row r="12" spans="1:3" x14ac:dyDescent="0.25">
      <c r="A12" s="38" t="s">
        <v>288</v>
      </c>
      <c r="B12" s="35">
        <v>8</v>
      </c>
      <c r="C12" s="4"/>
    </row>
    <row r="13" spans="1:3" x14ac:dyDescent="0.25">
      <c r="A13" s="38" t="s">
        <v>289</v>
      </c>
      <c r="B13" s="35">
        <v>9</v>
      </c>
      <c r="C13" s="4"/>
    </row>
    <row r="14" spans="1:3" x14ac:dyDescent="0.25">
      <c r="A14" s="39" t="s">
        <v>290</v>
      </c>
      <c r="B14" s="36">
        <v>10</v>
      </c>
      <c r="C14" s="6"/>
    </row>
    <row r="15" spans="1:3" x14ac:dyDescent="0.25">
      <c r="A15" s="38" t="s">
        <v>291</v>
      </c>
      <c r="B15" s="35">
        <v>11</v>
      </c>
      <c r="C15" s="4"/>
    </row>
    <row r="16" spans="1:3" s="33" customFormat="1" hidden="1" x14ac:dyDescent="0.25">
      <c r="A16" s="41" t="s">
        <v>292</v>
      </c>
      <c r="B16" s="43"/>
      <c r="C16" s="42" t="s">
        <v>291</v>
      </c>
    </row>
    <row r="17" spans="1:3" s="33" customFormat="1" hidden="1" x14ac:dyDescent="0.25">
      <c r="A17" s="41" t="s">
        <v>293</v>
      </c>
      <c r="B17" s="43"/>
      <c r="C17" s="42" t="s">
        <v>291</v>
      </c>
    </row>
    <row r="18" spans="1:3" x14ac:dyDescent="0.25">
      <c r="A18" s="38" t="s">
        <v>294</v>
      </c>
      <c r="B18" s="35">
        <v>12</v>
      </c>
      <c r="C18" s="4"/>
    </row>
    <row r="19" spans="1:3" s="33" customFormat="1" hidden="1" x14ac:dyDescent="0.25">
      <c r="A19" s="41" t="s">
        <v>295</v>
      </c>
      <c r="B19" s="43"/>
      <c r="C19" s="42" t="s">
        <v>291</v>
      </c>
    </row>
    <row r="20" spans="1:3" x14ac:dyDescent="0.25">
      <c r="A20" s="38" t="s">
        <v>296</v>
      </c>
      <c r="B20" s="35">
        <v>13</v>
      </c>
      <c r="C20" s="4"/>
    </row>
    <row r="21" spans="1:3" x14ac:dyDescent="0.25">
      <c r="A21" s="38" t="s">
        <v>297</v>
      </c>
      <c r="B21" s="35">
        <v>14</v>
      </c>
      <c r="C21" s="4"/>
    </row>
    <row r="22" spans="1:3" x14ac:dyDescent="0.25">
      <c r="A22" s="38" t="s">
        <v>298</v>
      </c>
      <c r="B22" s="35">
        <v>15</v>
      </c>
      <c r="C22" s="4"/>
    </row>
    <row r="23" spans="1:3" s="33" customFormat="1" hidden="1" x14ac:dyDescent="0.25">
      <c r="A23" s="41" t="s">
        <v>299</v>
      </c>
      <c r="B23" s="43"/>
      <c r="C23" s="42" t="s">
        <v>291</v>
      </c>
    </row>
    <row r="24" spans="1:3" x14ac:dyDescent="0.25">
      <c r="A24" s="38" t="s">
        <v>300</v>
      </c>
      <c r="B24" s="35">
        <v>16</v>
      </c>
      <c r="C24" s="4"/>
    </row>
    <row r="25" spans="1:3" x14ac:dyDescent="0.25">
      <c r="A25" s="38" t="s">
        <v>301</v>
      </c>
      <c r="B25" s="35">
        <v>17</v>
      </c>
      <c r="C25" s="4"/>
    </row>
    <row r="26" spans="1:3" x14ac:dyDescent="0.25">
      <c r="A26" s="38" t="s">
        <v>302</v>
      </c>
      <c r="B26" s="35">
        <v>18</v>
      </c>
      <c r="C26" s="4"/>
    </row>
    <row r="27" spans="1:3" x14ac:dyDescent="0.25">
      <c r="A27" s="38" t="s">
        <v>303</v>
      </c>
      <c r="B27" s="35">
        <v>19</v>
      </c>
      <c r="C27" s="4"/>
    </row>
    <row r="28" spans="1:3" x14ac:dyDescent="0.25">
      <c r="A28" s="39" t="s">
        <v>304</v>
      </c>
      <c r="B28" s="36">
        <v>20</v>
      </c>
      <c r="C28" s="6"/>
    </row>
    <row r="29" spans="1:3" x14ac:dyDescent="0.25">
      <c r="B29" s="1"/>
    </row>
  </sheetData>
  <autoFilter ref="A1:C28">
    <filterColumn colId="2">
      <filters blank="1"/>
    </filterColumn>
  </autoFilter>
  <hyperlinks>
    <hyperlink ref="C1" r:id="rId1" display="Válida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97"/>
  <sheetViews>
    <sheetView workbookViewId="0">
      <pane ySplit="2" topLeftCell="A134" activePane="bottomLeft" state="frozen"/>
      <selection pane="bottomLeft" activeCell="A398" sqref="A398"/>
    </sheetView>
  </sheetViews>
  <sheetFormatPr baseColWidth="10" defaultRowHeight="15" x14ac:dyDescent="0.25"/>
  <sheetData>
    <row r="1" spans="1:4" ht="15.75" x14ac:dyDescent="0.25">
      <c r="A1" s="56" t="s">
        <v>315</v>
      </c>
    </row>
    <row r="2" spans="1:4" ht="15" customHeight="1" x14ac:dyDescent="0.25">
      <c r="A2" s="51" t="s">
        <v>312</v>
      </c>
      <c r="B2" s="51" t="s">
        <v>313</v>
      </c>
      <c r="C2" s="51" t="s">
        <v>314</v>
      </c>
      <c r="D2" s="51" t="s">
        <v>306</v>
      </c>
    </row>
    <row r="3" spans="1:4" hidden="1" x14ac:dyDescent="0.25">
      <c r="A3" s="52">
        <v>32874</v>
      </c>
      <c r="B3" s="55"/>
      <c r="C3" s="54">
        <v>1158691</v>
      </c>
      <c r="D3" s="53">
        <f t="shared" ref="D3:D67" si="0">SUM(B3:C3)</f>
        <v>1158691</v>
      </c>
    </row>
    <row r="4" spans="1:4" hidden="1" x14ac:dyDescent="0.25">
      <c r="A4" s="52">
        <v>32905</v>
      </c>
      <c r="B4" s="55"/>
      <c r="C4" s="54">
        <v>1146731</v>
      </c>
      <c r="D4" s="53">
        <f t="shared" si="0"/>
        <v>1146731</v>
      </c>
    </row>
    <row r="5" spans="1:4" hidden="1" x14ac:dyDescent="0.25">
      <c r="A5" s="52">
        <v>32933</v>
      </c>
      <c r="B5" s="55"/>
      <c r="C5" s="54">
        <v>1142093</v>
      </c>
      <c r="D5" s="53">
        <f t="shared" si="0"/>
        <v>1142093</v>
      </c>
    </row>
    <row r="6" spans="1:4" hidden="1" x14ac:dyDescent="0.25">
      <c r="A6" s="52">
        <v>32964</v>
      </c>
      <c r="B6" s="55"/>
      <c r="C6" s="54">
        <v>1138435</v>
      </c>
      <c r="D6" s="53">
        <f t="shared" si="0"/>
        <v>1138435</v>
      </c>
    </row>
    <row r="7" spans="1:4" hidden="1" x14ac:dyDescent="0.25">
      <c r="A7" s="52">
        <v>32994</v>
      </c>
      <c r="B7" s="55"/>
      <c r="C7" s="54">
        <v>1134542</v>
      </c>
      <c r="D7" s="53">
        <f t="shared" si="0"/>
        <v>1134542</v>
      </c>
    </row>
    <row r="8" spans="1:4" hidden="1" x14ac:dyDescent="0.25">
      <c r="A8" s="52">
        <v>33025</v>
      </c>
      <c r="B8" s="55"/>
      <c r="C8" s="54">
        <v>1110681</v>
      </c>
      <c r="D8" s="53">
        <f t="shared" si="0"/>
        <v>1110681</v>
      </c>
    </row>
    <row r="9" spans="1:4" hidden="1" x14ac:dyDescent="0.25">
      <c r="A9" s="52">
        <v>33055</v>
      </c>
      <c r="B9" s="55"/>
      <c r="C9" s="54">
        <v>1105577</v>
      </c>
      <c r="D9" s="53">
        <f t="shared" si="0"/>
        <v>1105577</v>
      </c>
    </row>
    <row r="10" spans="1:4" hidden="1" x14ac:dyDescent="0.25">
      <c r="A10" s="52">
        <v>33086</v>
      </c>
      <c r="B10" s="55"/>
      <c r="C10" s="54">
        <v>1105506</v>
      </c>
      <c r="D10" s="53">
        <f t="shared" si="0"/>
        <v>1105506</v>
      </c>
    </row>
    <row r="11" spans="1:4" hidden="1" x14ac:dyDescent="0.25">
      <c r="A11" s="52">
        <v>33117</v>
      </c>
      <c r="B11" s="55"/>
      <c r="C11" s="54">
        <v>1086930</v>
      </c>
      <c r="D11" s="53">
        <f t="shared" si="0"/>
        <v>1086930</v>
      </c>
    </row>
    <row r="12" spans="1:4" hidden="1" x14ac:dyDescent="0.25">
      <c r="A12" s="52">
        <v>33147</v>
      </c>
      <c r="B12" s="55"/>
      <c r="C12" s="54">
        <v>1070432</v>
      </c>
      <c r="D12" s="53">
        <f t="shared" si="0"/>
        <v>1070432</v>
      </c>
    </row>
    <row r="13" spans="1:4" hidden="1" x14ac:dyDescent="0.25">
      <c r="A13" s="52">
        <v>33178</v>
      </c>
      <c r="B13" s="55"/>
      <c r="C13" s="54">
        <v>1049885</v>
      </c>
      <c r="D13" s="53">
        <f t="shared" si="0"/>
        <v>1049885</v>
      </c>
    </row>
    <row r="14" spans="1:4" x14ac:dyDescent="0.25">
      <c r="A14" s="52">
        <v>33208</v>
      </c>
      <c r="B14" s="55"/>
      <c r="C14" s="54">
        <v>1023013</v>
      </c>
      <c r="D14" s="53">
        <f t="shared" si="0"/>
        <v>1023013</v>
      </c>
    </row>
    <row r="15" spans="1:4" hidden="1" x14ac:dyDescent="0.25">
      <c r="A15" s="52">
        <v>33239</v>
      </c>
      <c r="B15" s="55"/>
      <c r="C15" s="54">
        <v>1005988</v>
      </c>
      <c r="D15" s="53">
        <f t="shared" si="0"/>
        <v>1005988</v>
      </c>
    </row>
    <row r="16" spans="1:4" hidden="1" x14ac:dyDescent="0.25">
      <c r="A16" s="52">
        <v>33270</v>
      </c>
      <c r="B16" s="55"/>
      <c r="C16" s="54">
        <v>991781</v>
      </c>
      <c r="D16" s="53">
        <f t="shared" si="0"/>
        <v>991781</v>
      </c>
    </row>
    <row r="17" spans="1:4" hidden="1" x14ac:dyDescent="0.25">
      <c r="A17" s="52">
        <v>33298</v>
      </c>
      <c r="B17" s="55"/>
      <c r="C17" s="54">
        <v>964281</v>
      </c>
      <c r="D17" s="53">
        <f t="shared" si="0"/>
        <v>964281</v>
      </c>
    </row>
    <row r="18" spans="1:4" hidden="1" x14ac:dyDescent="0.25">
      <c r="A18" s="52">
        <v>33329</v>
      </c>
      <c r="B18" s="55"/>
      <c r="C18" s="54">
        <v>956880</v>
      </c>
      <c r="D18" s="53">
        <f t="shared" si="0"/>
        <v>956880</v>
      </c>
    </row>
    <row r="19" spans="1:4" hidden="1" x14ac:dyDescent="0.25">
      <c r="A19" s="52">
        <v>33359</v>
      </c>
      <c r="B19" s="55"/>
      <c r="C19" s="54">
        <v>945290</v>
      </c>
      <c r="D19" s="53">
        <f t="shared" si="0"/>
        <v>945290</v>
      </c>
    </row>
    <row r="20" spans="1:4" hidden="1" x14ac:dyDescent="0.25">
      <c r="A20" s="52">
        <v>33390</v>
      </c>
      <c r="B20" s="55"/>
      <c r="C20" s="54">
        <v>937019</v>
      </c>
      <c r="D20" s="53">
        <f t="shared" si="0"/>
        <v>937019</v>
      </c>
    </row>
    <row r="21" spans="1:4" hidden="1" x14ac:dyDescent="0.25">
      <c r="A21" s="52">
        <v>33420</v>
      </c>
      <c r="B21" s="55"/>
      <c r="C21" s="54">
        <v>931615</v>
      </c>
      <c r="D21" s="53">
        <f t="shared" si="0"/>
        <v>931615</v>
      </c>
    </row>
    <row r="22" spans="1:4" hidden="1" x14ac:dyDescent="0.25">
      <c r="A22" s="52">
        <v>33451</v>
      </c>
      <c r="B22" s="55"/>
      <c r="C22" s="54">
        <v>917107</v>
      </c>
      <c r="D22" s="53">
        <f t="shared" si="0"/>
        <v>917107</v>
      </c>
    </row>
    <row r="23" spans="1:4" hidden="1" x14ac:dyDescent="0.25">
      <c r="A23" s="52">
        <v>33482</v>
      </c>
      <c r="B23" s="55"/>
      <c r="C23" s="54">
        <v>921552</v>
      </c>
      <c r="D23" s="53">
        <f t="shared" si="0"/>
        <v>921552</v>
      </c>
    </row>
    <row r="24" spans="1:4" hidden="1" x14ac:dyDescent="0.25">
      <c r="A24" s="52">
        <v>33512</v>
      </c>
      <c r="B24" s="55"/>
      <c r="C24" s="54">
        <v>926429</v>
      </c>
      <c r="D24" s="53">
        <f t="shared" si="0"/>
        <v>926429</v>
      </c>
    </row>
    <row r="25" spans="1:4" hidden="1" x14ac:dyDescent="0.25">
      <c r="A25" s="52">
        <v>33543</v>
      </c>
      <c r="B25" s="55"/>
      <c r="C25" s="54">
        <v>927528</v>
      </c>
      <c r="D25" s="53">
        <f t="shared" si="0"/>
        <v>927528</v>
      </c>
    </row>
    <row r="26" spans="1:4" x14ac:dyDescent="0.25">
      <c r="A26" s="52">
        <v>33573</v>
      </c>
      <c r="B26" s="55"/>
      <c r="C26" s="54">
        <v>934104</v>
      </c>
      <c r="D26" s="53">
        <f t="shared" si="0"/>
        <v>934104</v>
      </c>
    </row>
    <row r="27" spans="1:4" hidden="1" x14ac:dyDescent="0.25">
      <c r="A27" s="52">
        <v>33604</v>
      </c>
      <c r="B27" s="55"/>
      <c r="C27" s="54">
        <v>955055</v>
      </c>
      <c r="D27" s="53">
        <f t="shared" si="0"/>
        <v>955055</v>
      </c>
    </row>
    <row r="28" spans="1:4" hidden="1" x14ac:dyDescent="0.25">
      <c r="A28" s="52">
        <v>33635</v>
      </c>
      <c r="B28" s="55"/>
      <c r="C28" s="54">
        <v>973015</v>
      </c>
      <c r="D28" s="53">
        <f t="shared" si="0"/>
        <v>973015</v>
      </c>
    </row>
    <row r="29" spans="1:4" hidden="1" x14ac:dyDescent="0.25">
      <c r="A29" s="52">
        <v>33664</v>
      </c>
      <c r="B29" s="55"/>
      <c r="C29" s="54">
        <v>994602</v>
      </c>
      <c r="D29" s="53">
        <f t="shared" si="0"/>
        <v>994602</v>
      </c>
    </row>
    <row r="30" spans="1:4" hidden="1" x14ac:dyDescent="0.25">
      <c r="A30" s="52">
        <v>33695</v>
      </c>
      <c r="B30" s="55"/>
      <c r="C30" s="54">
        <v>1006124</v>
      </c>
      <c r="D30" s="53">
        <f t="shared" si="0"/>
        <v>1006124</v>
      </c>
    </row>
    <row r="31" spans="1:4" hidden="1" x14ac:dyDescent="0.25">
      <c r="A31" s="52">
        <v>33725</v>
      </c>
      <c r="B31" s="55"/>
      <c r="C31" s="54">
        <v>1008389</v>
      </c>
      <c r="D31" s="53">
        <f t="shared" si="0"/>
        <v>1008389</v>
      </c>
    </row>
    <row r="32" spans="1:4" hidden="1" x14ac:dyDescent="0.25">
      <c r="A32" s="52">
        <v>33756</v>
      </c>
      <c r="B32" s="55"/>
      <c r="C32" s="54">
        <v>1020811</v>
      </c>
      <c r="D32" s="53">
        <f t="shared" si="0"/>
        <v>1020811</v>
      </c>
    </row>
    <row r="33" spans="1:4" hidden="1" x14ac:dyDescent="0.25">
      <c r="A33" s="52">
        <v>33786</v>
      </c>
      <c r="B33" s="55"/>
      <c r="C33" s="54">
        <v>1030284</v>
      </c>
      <c r="D33" s="53">
        <f t="shared" si="0"/>
        <v>1030284</v>
      </c>
    </row>
    <row r="34" spans="1:4" hidden="1" x14ac:dyDescent="0.25">
      <c r="A34" s="52">
        <v>33817</v>
      </c>
      <c r="B34" s="55"/>
      <c r="C34" s="54">
        <v>1021082</v>
      </c>
      <c r="D34" s="53">
        <f t="shared" si="0"/>
        <v>1021082</v>
      </c>
    </row>
    <row r="35" spans="1:4" hidden="1" x14ac:dyDescent="0.25">
      <c r="A35" s="52">
        <v>33848</v>
      </c>
      <c r="B35" s="55"/>
      <c r="C35" s="54">
        <v>1025393</v>
      </c>
      <c r="D35" s="53">
        <f t="shared" si="0"/>
        <v>1025393</v>
      </c>
    </row>
    <row r="36" spans="1:4" hidden="1" x14ac:dyDescent="0.25">
      <c r="A36" s="52">
        <v>33878</v>
      </c>
      <c r="B36" s="55"/>
      <c r="C36" s="54">
        <v>1018939</v>
      </c>
      <c r="D36" s="53">
        <f t="shared" si="0"/>
        <v>1018939</v>
      </c>
    </row>
    <row r="37" spans="1:4" hidden="1" x14ac:dyDescent="0.25">
      <c r="A37" s="52">
        <v>33909</v>
      </c>
      <c r="B37" s="55"/>
      <c r="C37" s="54">
        <v>1018546</v>
      </c>
      <c r="D37" s="53">
        <f t="shared" si="0"/>
        <v>1018546</v>
      </c>
    </row>
    <row r="38" spans="1:4" x14ac:dyDescent="0.25">
      <c r="A38" s="52">
        <v>33939</v>
      </c>
      <c r="B38" s="55"/>
      <c r="C38" s="54">
        <v>1031148</v>
      </c>
      <c r="D38" s="53">
        <f t="shared" si="0"/>
        <v>1031148</v>
      </c>
    </row>
    <row r="39" spans="1:4" hidden="1" x14ac:dyDescent="0.25">
      <c r="A39" s="52">
        <v>33970</v>
      </c>
      <c r="B39" s="55"/>
      <c r="C39" s="54">
        <v>984127</v>
      </c>
      <c r="D39" s="53">
        <f t="shared" si="0"/>
        <v>984127</v>
      </c>
    </row>
    <row r="40" spans="1:4" hidden="1" x14ac:dyDescent="0.25">
      <c r="A40" s="52">
        <v>34001</v>
      </c>
      <c r="B40" s="55"/>
      <c r="C40" s="54">
        <v>956319</v>
      </c>
      <c r="D40" s="53">
        <f t="shared" si="0"/>
        <v>956319</v>
      </c>
    </row>
    <row r="41" spans="1:4" hidden="1" x14ac:dyDescent="0.25">
      <c r="A41" s="52">
        <v>34029</v>
      </c>
      <c r="B41" s="55"/>
      <c r="C41" s="54">
        <v>933992</v>
      </c>
      <c r="D41" s="53">
        <f t="shared" si="0"/>
        <v>933992</v>
      </c>
    </row>
    <row r="42" spans="1:4" hidden="1" x14ac:dyDescent="0.25">
      <c r="A42" s="52">
        <v>34060</v>
      </c>
      <c r="B42" s="55"/>
      <c r="C42" s="54">
        <v>906891</v>
      </c>
      <c r="D42" s="53">
        <f t="shared" si="0"/>
        <v>906891</v>
      </c>
    </row>
    <row r="43" spans="1:4" hidden="1" x14ac:dyDescent="0.25">
      <c r="A43" s="52">
        <v>34090</v>
      </c>
      <c r="B43" s="55"/>
      <c r="C43" s="54">
        <v>889617</v>
      </c>
      <c r="D43" s="53">
        <f t="shared" si="0"/>
        <v>889617</v>
      </c>
    </row>
    <row r="44" spans="1:4" hidden="1" x14ac:dyDescent="0.25">
      <c r="A44" s="52">
        <v>34121</v>
      </c>
      <c r="B44" s="55"/>
      <c r="C44" s="54">
        <v>869436</v>
      </c>
      <c r="D44" s="53">
        <f t="shared" si="0"/>
        <v>869436</v>
      </c>
    </row>
    <row r="45" spans="1:4" hidden="1" x14ac:dyDescent="0.25">
      <c r="A45" s="52">
        <v>34151</v>
      </c>
      <c r="B45" s="55"/>
      <c r="C45" s="54">
        <v>847162</v>
      </c>
      <c r="D45" s="53">
        <f t="shared" si="0"/>
        <v>847162</v>
      </c>
    </row>
    <row r="46" spans="1:4" hidden="1" x14ac:dyDescent="0.25">
      <c r="A46" s="52">
        <v>34182</v>
      </c>
      <c r="B46" s="55"/>
      <c r="C46" s="54">
        <v>844992</v>
      </c>
      <c r="D46" s="53">
        <f t="shared" si="0"/>
        <v>844992</v>
      </c>
    </row>
    <row r="47" spans="1:4" hidden="1" x14ac:dyDescent="0.25">
      <c r="A47" s="52">
        <v>34213</v>
      </c>
      <c r="B47" s="55"/>
      <c r="C47" s="54">
        <v>835244</v>
      </c>
      <c r="D47" s="53">
        <f t="shared" si="0"/>
        <v>835244</v>
      </c>
    </row>
    <row r="48" spans="1:4" hidden="1" x14ac:dyDescent="0.25">
      <c r="A48" s="52">
        <v>34243</v>
      </c>
      <c r="B48" s="55"/>
      <c r="C48" s="54">
        <v>818170</v>
      </c>
      <c r="D48" s="53">
        <f t="shared" si="0"/>
        <v>818170</v>
      </c>
    </row>
    <row r="49" spans="1:4" hidden="1" x14ac:dyDescent="0.25">
      <c r="A49" s="52">
        <v>34274</v>
      </c>
      <c r="B49" s="55"/>
      <c r="C49" s="54">
        <v>805042</v>
      </c>
      <c r="D49" s="53">
        <f t="shared" si="0"/>
        <v>805042</v>
      </c>
    </row>
    <row r="50" spans="1:4" x14ac:dyDescent="0.25">
      <c r="A50" s="52">
        <v>34304</v>
      </c>
      <c r="B50" s="55"/>
      <c r="C50" s="54">
        <v>792574</v>
      </c>
      <c r="D50" s="53">
        <f t="shared" si="0"/>
        <v>792574</v>
      </c>
    </row>
    <row r="51" spans="1:4" hidden="1" x14ac:dyDescent="0.25">
      <c r="A51" s="52">
        <v>34335</v>
      </c>
      <c r="B51" s="55"/>
      <c r="C51" s="54">
        <v>804784</v>
      </c>
      <c r="D51" s="53">
        <f t="shared" si="0"/>
        <v>804784</v>
      </c>
    </row>
    <row r="52" spans="1:4" hidden="1" x14ac:dyDescent="0.25">
      <c r="A52" s="52">
        <v>34366</v>
      </c>
      <c r="B52" s="55"/>
      <c r="C52" s="54">
        <v>809193</v>
      </c>
      <c r="D52" s="53">
        <f t="shared" si="0"/>
        <v>809193</v>
      </c>
    </row>
    <row r="53" spans="1:4" hidden="1" x14ac:dyDescent="0.25">
      <c r="A53" s="52">
        <v>34394</v>
      </c>
      <c r="B53" s="55"/>
      <c r="C53" s="54">
        <v>821242</v>
      </c>
      <c r="D53" s="53">
        <f t="shared" si="0"/>
        <v>821242</v>
      </c>
    </row>
    <row r="54" spans="1:4" hidden="1" x14ac:dyDescent="0.25">
      <c r="A54" s="52">
        <v>34425</v>
      </c>
      <c r="B54" s="55"/>
      <c r="C54" s="54">
        <v>825980</v>
      </c>
      <c r="D54" s="53">
        <f t="shared" si="0"/>
        <v>825980</v>
      </c>
    </row>
    <row r="55" spans="1:4" hidden="1" x14ac:dyDescent="0.25">
      <c r="A55" s="52">
        <v>34455</v>
      </c>
      <c r="B55" s="55"/>
      <c r="C55" s="54">
        <v>846431</v>
      </c>
      <c r="D55" s="53">
        <f t="shared" si="0"/>
        <v>846431</v>
      </c>
    </row>
    <row r="56" spans="1:4" hidden="1" x14ac:dyDescent="0.25">
      <c r="A56" s="52">
        <v>34486</v>
      </c>
      <c r="B56" s="55"/>
      <c r="C56" s="54">
        <v>866838</v>
      </c>
      <c r="D56" s="53">
        <f t="shared" si="0"/>
        <v>866838</v>
      </c>
    </row>
    <row r="57" spans="1:4" hidden="1" x14ac:dyDescent="0.25">
      <c r="A57" s="52">
        <v>34516</v>
      </c>
      <c r="B57" s="55"/>
      <c r="C57" s="54">
        <v>880273</v>
      </c>
      <c r="D57" s="53">
        <f t="shared" si="0"/>
        <v>880273</v>
      </c>
    </row>
    <row r="58" spans="1:4" hidden="1" x14ac:dyDescent="0.25">
      <c r="A58" s="52">
        <v>34547</v>
      </c>
      <c r="B58" s="55"/>
      <c r="C58" s="54">
        <v>896508</v>
      </c>
      <c r="D58" s="53">
        <f t="shared" si="0"/>
        <v>896508</v>
      </c>
    </row>
    <row r="59" spans="1:4" hidden="1" x14ac:dyDescent="0.25">
      <c r="A59" s="52">
        <v>34578</v>
      </c>
      <c r="B59" s="55"/>
      <c r="C59" s="54">
        <v>909493</v>
      </c>
      <c r="D59" s="53">
        <f t="shared" si="0"/>
        <v>909493</v>
      </c>
    </row>
    <row r="60" spans="1:4" hidden="1" x14ac:dyDescent="0.25">
      <c r="A60" s="52">
        <v>34608</v>
      </c>
      <c r="B60" s="55"/>
      <c r="C60" s="54">
        <v>922769</v>
      </c>
      <c r="D60" s="53">
        <f t="shared" si="0"/>
        <v>922769</v>
      </c>
    </row>
    <row r="61" spans="1:4" hidden="1" x14ac:dyDescent="0.25">
      <c r="A61" s="52">
        <v>34639</v>
      </c>
      <c r="B61" s="55"/>
      <c r="C61" s="54">
        <v>933280</v>
      </c>
      <c r="D61" s="53">
        <f t="shared" si="0"/>
        <v>933280</v>
      </c>
    </row>
    <row r="62" spans="1:4" x14ac:dyDescent="0.25">
      <c r="A62" s="52">
        <v>34669</v>
      </c>
      <c r="B62" s="55"/>
      <c r="C62" s="54">
        <v>956367</v>
      </c>
      <c r="D62" s="53">
        <f t="shared" si="0"/>
        <v>956367</v>
      </c>
    </row>
    <row r="63" spans="1:4" hidden="1" x14ac:dyDescent="0.25">
      <c r="A63" s="52">
        <v>34700</v>
      </c>
      <c r="B63" s="55"/>
      <c r="C63" s="54">
        <v>954525</v>
      </c>
      <c r="D63" s="53">
        <f t="shared" si="0"/>
        <v>954525</v>
      </c>
    </row>
    <row r="64" spans="1:4" hidden="1" x14ac:dyDescent="0.25">
      <c r="A64" s="52">
        <v>34731</v>
      </c>
      <c r="B64" s="55"/>
      <c r="C64" s="54">
        <v>956308</v>
      </c>
      <c r="D64" s="53">
        <f t="shared" si="0"/>
        <v>956308</v>
      </c>
    </row>
    <row r="65" spans="1:4" hidden="1" x14ac:dyDescent="0.25">
      <c r="A65" s="52">
        <v>34759</v>
      </c>
      <c r="B65" s="55"/>
      <c r="C65" s="54">
        <v>963454</v>
      </c>
      <c r="D65" s="53">
        <f t="shared" si="0"/>
        <v>963454</v>
      </c>
    </row>
    <row r="66" spans="1:4" hidden="1" x14ac:dyDescent="0.25">
      <c r="A66" s="52">
        <v>34790</v>
      </c>
      <c r="B66" s="55"/>
      <c r="C66" s="54">
        <v>966132</v>
      </c>
      <c r="D66" s="53">
        <f t="shared" si="0"/>
        <v>966132</v>
      </c>
    </row>
    <row r="67" spans="1:4" hidden="1" x14ac:dyDescent="0.25">
      <c r="A67" s="52">
        <v>34820</v>
      </c>
      <c r="B67" s="55"/>
      <c r="C67" s="54">
        <v>959055</v>
      </c>
      <c r="D67" s="53">
        <f t="shared" si="0"/>
        <v>959055</v>
      </c>
    </row>
    <row r="68" spans="1:4" hidden="1" x14ac:dyDescent="0.25">
      <c r="A68" s="52">
        <v>34851</v>
      </c>
      <c r="B68" s="55"/>
      <c r="C68" s="54">
        <v>965610</v>
      </c>
      <c r="D68" s="53">
        <f t="shared" ref="D68:D131" si="1">SUM(B68:C68)</f>
        <v>965610</v>
      </c>
    </row>
    <row r="69" spans="1:4" hidden="1" x14ac:dyDescent="0.25">
      <c r="A69" s="52">
        <v>34881</v>
      </c>
      <c r="B69" s="55"/>
      <c r="C69" s="54">
        <v>937836</v>
      </c>
      <c r="D69" s="53">
        <f t="shared" si="1"/>
        <v>937836</v>
      </c>
    </row>
    <row r="70" spans="1:4" hidden="1" x14ac:dyDescent="0.25">
      <c r="A70" s="52">
        <v>34912</v>
      </c>
      <c r="B70" s="55"/>
      <c r="C70" s="54">
        <v>924497</v>
      </c>
      <c r="D70" s="53">
        <f t="shared" si="1"/>
        <v>924497</v>
      </c>
    </row>
    <row r="71" spans="1:4" hidden="1" x14ac:dyDescent="0.25">
      <c r="A71" s="52">
        <v>34943</v>
      </c>
      <c r="B71" s="55"/>
      <c r="C71" s="54">
        <v>910716</v>
      </c>
      <c r="D71" s="53">
        <f t="shared" si="1"/>
        <v>910716</v>
      </c>
    </row>
    <row r="72" spans="1:4" hidden="1" x14ac:dyDescent="0.25">
      <c r="A72" s="52">
        <v>34973</v>
      </c>
      <c r="B72" s="55"/>
      <c r="C72" s="54">
        <v>901316</v>
      </c>
      <c r="D72" s="53">
        <f t="shared" si="1"/>
        <v>901316</v>
      </c>
    </row>
    <row r="73" spans="1:4" hidden="1" x14ac:dyDescent="0.25">
      <c r="A73" s="52">
        <v>35004</v>
      </c>
      <c r="B73" s="55"/>
      <c r="C73" s="54">
        <v>898035</v>
      </c>
      <c r="D73" s="53">
        <f t="shared" si="1"/>
        <v>898035</v>
      </c>
    </row>
    <row r="74" spans="1:4" x14ac:dyDescent="0.25">
      <c r="A74" s="52">
        <v>35034</v>
      </c>
      <c r="B74" s="55"/>
      <c r="C74" s="54">
        <v>881511</v>
      </c>
      <c r="D74" s="53">
        <f t="shared" si="1"/>
        <v>881511</v>
      </c>
    </row>
    <row r="75" spans="1:4" hidden="1" x14ac:dyDescent="0.25">
      <c r="A75" s="52">
        <v>35065</v>
      </c>
      <c r="B75" s="55"/>
      <c r="C75" s="54">
        <v>886886</v>
      </c>
      <c r="D75" s="53">
        <f t="shared" si="1"/>
        <v>886886</v>
      </c>
    </row>
    <row r="76" spans="1:4" hidden="1" x14ac:dyDescent="0.25">
      <c r="A76" s="52">
        <v>35096</v>
      </c>
      <c r="B76" s="55"/>
      <c r="C76" s="54">
        <v>896159</v>
      </c>
      <c r="D76" s="53">
        <f t="shared" si="1"/>
        <v>896159</v>
      </c>
    </row>
    <row r="77" spans="1:4" hidden="1" x14ac:dyDescent="0.25">
      <c r="A77" s="52">
        <v>35125</v>
      </c>
      <c r="B77" s="55"/>
      <c r="C77" s="54">
        <v>899309</v>
      </c>
      <c r="D77" s="53">
        <f t="shared" si="1"/>
        <v>899309</v>
      </c>
    </row>
    <row r="78" spans="1:4" hidden="1" x14ac:dyDescent="0.25">
      <c r="A78" s="52">
        <v>35156</v>
      </c>
      <c r="B78" s="55"/>
      <c r="C78" s="54">
        <v>901822</v>
      </c>
      <c r="D78" s="53">
        <f t="shared" si="1"/>
        <v>901822</v>
      </c>
    </row>
    <row r="79" spans="1:4" hidden="1" x14ac:dyDescent="0.25">
      <c r="A79" s="52">
        <v>35186</v>
      </c>
      <c r="B79" s="55"/>
      <c r="C79" s="54">
        <v>904985</v>
      </c>
      <c r="D79" s="53">
        <f t="shared" si="1"/>
        <v>904985</v>
      </c>
    </row>
    <row r="80" spans="1:4" hidden="1" x14ac:dyDescent="0.25">
      <c r="A80" s="52">
        <v>35217</v>
      </c>
      <c r="B80" s="55"/>
      <c r="C80" s="54">
        <v>882484</v>
      </c>
      <c r="D80" s="53">
        <f t="shared" si="1"/>
        <v>882484</v>
      </c>
    </row>
    <row r="81" spans="1:4" hidden="1" x14ac:dyDescent="0.25">
      <c r="A81" s="52">
        <v>35247</v>
      </c>
      <c r="B81" s="55"/>
      <c r="C81" s="54">
        <v>912567</v>
      </c>
      <c r="D81" s="53">
        <f t="shared" si="1"/>
        <v>912567</v>
      </c>
    </row>
    <row r="82" spans="1:4" hidden="1" x14ac:dyDescent="0.25">
      <c r="A82" s="52">
        <v>35278</v>
      </c>
      <c r="B82" s="55"/>
      <c r="C82" s="54">
        <v>912996</v>
      </c>
      <c r="D82" s="53">
        <f t="shared" si="1"/>
        <v>912996</v>
      </c>
    </row>
    <row r="83" spans="1:4" hidden="1" x14ac:dyDescent="0.25">
      <c r="A83" s="52">
        <v>35309</v>
      </c>
      <c r="B83" s="55"/>
      <c r="C83" s="54">
        <v>922814</v>
      </c>
      <c r="D83" s="53">
        <f t="shared" si="1"/>
        <v>922814</v>
      </c>
    </row>
    <row r="84" spans="1:4" hidden="1" x14ac:dyDescent="0.25">
      <c r="A84" s="52">
        <v>35339</v>
      </c>
      <c r="B84" s="55"/>
      <c r="C84" s="54">
        <v>942284</v>
      </c>
      <c r="D84" s="53">
        <f t="shared" si="1"/>
        <v>942284</v>
      </c>
    </row>
    <row r="85" spans="1:4" hidden="1" x14ac:dyDescent="0.25">
      <c r="A85" s="52">
        <v>35370</v>
      </c>
      <c r="B85" s="55"/>
      <c r="C85" s="54">
        <v>950256</v>
      </c>
      <c r="D85" s="53">
        <f t="shared" si="1"/>
        <v>950256</v>
      </c>
    </row>
    <row r="86" spans="1:4" x14ac:dyDescent="0.25">
      <c r="A86" s="52">
        <v>35400</v>
      </c>
      <c r="B86" s="55"/>
      <c r="C86" s="54">
        <v>962905</v>
      </c>
      <c r="D86" s="53">
        <f t="shared" si="1"/>
        <v>962905</v>
      </c>
    </row>
    <row r="87" spans="1:4" hidden="1" x14ac:dyDescent="0.25">
      <c r="A87" s="52">
        <v>35431</v>
      </c>
      <c r="B87" s="54">
        <v>153698</v>
      </c>
      <c r="C87" s="54">
        <v>975364</v>
      </c>
      <c r="D87" s="53">
        <f t="shared" si="1"/>
        <v>1129062</v>
      </c>
    </row>
    <row r="88" spans="1:4" hidden="1" x14ac:dyDescent="0.25">
      <c r="A88" s="52">
        <v>35462</v>
      </c>
      <c r="B88" s="54">
        <v>155960</v>
      </c>
      <c r="C88" s="54">
        <v>975948</v>
      </c>
      <c r="D88" s="53">
        <f t="shared" si="1"/>
        <v>1131908</v>
      </c>
    </row>
    <row r="89" spans="1:4" hidden="1" x14ac:dyDescent="0.25">
      <c r="A89" s="52">
        <v>35490</v>
      </c>
      <c r="B89" s="54">
        <v>158214</v>
      </c>
      <c r="C89" s="54">
        <v>977756</v>
      </c>
      <c r="D89" s="53">
        <f t="shared" si="1"/>
        <v>1135970</v>
      </c>
    </row>
    <row r="90" spans="1:4" hidden="1" x14ac:dyDescent="0.25">
      <c r="A90" s="52">
        <v>35521</v>
      </c>
      <c r="B90" s="54">
        <v>162958</v>
      </c>
      <c r="C90" s="54">
        <v>993504</v>
      </c>
      <c r="D90" s="53">
        <f t="shared" si="1"/>
        <v>1156462</v>
      </c>
    </row>
    <row r="91" spans="1:4" hidden="1" x14ac:dyDescent="0.25">
      <c r="A91" s="52">
        <v>35551</v>
      </c>
      <c r="B91" s="54">
        <v>165788</v>
      </c>
      <c r="C91" s="54">
        <v>1001800</v>
      </c>
      <c r="D91" s="53">
        <f t="shared" si="1"/>
        <v>1167588</v>
      </c>
    </row>
    <row r="92" spans="1:4" hidden="1" x14ac:dyDescent="0.25">
      <c r="A92" s="52">
        <v>35582</v>
      </c>
      <c r="B92" s="54">
        <v>169952</v>
      </c>
      <c r="C92" s="54">
        <v>1016643</v>
      </c>
      <c r="D92" s="53">
        <f t="shared" si="1"/>
        <v>1186595</v>
      </c>
    </row>
    <row r="93" spans="1:4" hidden="1" x14ac:dyDescent="0.25">
      <c r="A93" s="52">
        <v>35612</v>
      </c>
      <c r="B93" s="54">
        <v>175017</v>
      </c>
      <c r="C93" s="54">
        <v>1033339</v>
      </c>
      <c r="D93" s="53">
        <f t="shared" si="1"/>
        <v>1208356</v>
      </c>
    </row>
    <row r="94" spans="1:4" hidden="1" x14ac:dyDescent="0.25">
      <c r="A94" s="52">
        <v>35643</v>
      </c>
      <c r="B94" s="54">
        <v>177529</v>
      </c>
      <c r="C94" s="54">
        <v>1041899</v>
      </c>
      <c r="D94" s="53">
        <f t="shared" si="1"/>
        <v>1219428</v>
      </c>
    </row>
    <row r="95" spans="1:4" hidden="1" x14ac:dyDescent="0.25">
      <c r="A95" s="52">
        <v>35674</v>
      </c>
      <c r="B95" s="54">
        <v>179017</v>
      </c>
      <c r="C95" s="54">
        <v>1046813</v>
      </c>
      <c r="D95" s="53">
        <f t="shared" si="1"/>
        <v>1225830</v>
      </c>
    </row>
    <row r="96" spans="1:4" hidden="1" x14ac:dyDescent="0.25">
      <c r="A96" s="52">
        <v>35704</v>
      </c>
      <c r="B96" s="54">
        <v>180993</v>
      </c>
      <c r="C96" s="54">
        <v>1056983</v>
      </c>
      <c r="D96" s="53">
        <f t="shared" si="1"/>
        <v>1237976</v>
      </c>
    </row>
    <row r="97" spans="1:4" hidden="1" x14ac:dyDescent="0.25">
      <c r="A97" s="52">
        <v>35735</v>
      </c>
      <c r="B97" s="54">
        <v>182314</v>
      </c>
      <c r="C97" s="54">
        <v>1064743</v>
      </c>
      <c r="D97" s="53">
        <f t="shared" si="1"/>
        <v>1247057</v>
      </c>
    </row>
    <row r="98" spans="1:4" x14ac:dyDescent="0.25">
      <c r="A98" s="52">
        <v>35765</v>
      </c>
      <c r="B98" s="54">
        <v>184864</v>
      </c>
      <c r="C98" s="54">
        <v>1074525</v>
      </c>
      <c r="D98" s="53">
        <f t="shared" si="1"/>
        <v>1259389</v>
      </c>
    </row>
    <row r="99" spans="1:4" hidden="1" x14ac:dyDescent="0.25">
      <c r="A99" s="52">
        <v>35796</v>
      </c>
      <c r="B99" s="54">
        <v>185512</v>
      </c>
      <c r="C99" s="54">
        <v>1079482</v>
      </c>
      <c r="D99" s="53">
        <f t="shared" si="1"/>
        <v>1264994</v>
      </c>
    </row>
    <row r="100" spans="1:4" hidden="1" x14ac:dyDescent="0.25">
      <c r="A100" s="52">
        <v>35827</v>
      </c>
      <c r="B100" s="54">
        <v>188400</v>
      </c>
      <c r="C100" s="54">
        <v>1093904</v>
      </c>
      <c r="D100" s="53">
        <f t="shared" si="1"/>
        <v>1282304</v>
      </c>
    </row>
    <row r="101" spans="1:4" hidden="1" x14ac:dyDescent="0.25">
      <c r="A101" s="52">
        <v>35855</v>
      </c>
      <c r="B101" s="54">
        <v>192514</v>
      </c>
      <c r="C101" s="54">
        <v>1109343</v>
      </c>
      <c r="D101" s="53">
        <f t="shared" si="1"/>
        <v>1301857</v>
      </c>
    </row>
    <row r="102" spans="1:4" hidden="1" x14ac:dyDescent="0.25">
      <c r="A102" s="52">
        <v>35886</v>
      </c>
      <c r="B102" s="54">
        <v>193572</v>
      </c>
      <c r="C102" s="54">
        <v>1121802</v>
      </c>
      <c r="D102" s="53">
        <f t="shared" si="1"/>
        <v>1315374</v>
      </c>
    </row>
    <row r="103" spans="1:4" hidden="1" x14ac:dyDescent="0.25">
      <c r="A103" s="52">
        <v>35916</v>
      </c>
      <c r="B103" s="54">
        <v>194332</v>
      </c>
      <c r="C103" s="54">
        <v>1131221</v>
      </c>
      <c r="D103" s="53">
        <f t="shared" si="1"/>
        <v>1325553</v>
      </c>
    </row>
    <row r="104" spans="1:4" hidden="1" x14ac:dyDescent="0.25">
      <c r="A104" s="52">
        <v>35947</v>
      </c>
      <c r="B104" s="54">
        <v>197179</v>
      </c>
      <c r="C104" s="54">
        <v>1155745</v>
      </c>
      <c r="D104" s="53">
        <f t="shared" si="1"/>
        <v>1352924</v>
      </c>
    </row>
    <row r="105" spans="1:4" hidden="1" x14ac:dyDescent="0.25">
      <c r="A105" s="52">
        <v>35977</v>
      </c>
      <c r="B105" s="54">
        <v>199692</v>
      </c>
      <c r="C105" s="54">
        <v>1176107</v>
      </c>
      <c r="D105" s="53">
        <f t="shared" si="1"/>
        <v>1375799</v>
      </c>
    </row>
    <row r="106" spans="1:4" hidden="1" x14ac:dyDescent="0.25">
      <c r="A106" s="52">
        <v>36008</v>
      </c>
      <c r="B106" s="54">
        <v>201364</v>
      </c>
      <c r="C106" s="54">
        <v>1183884</v>
      </c>
      <c r="D106" s="53">
        <f t="shared" si="1"/>
        <v>1385248</v>
      </c>
    </row>
    <row r="107" spans="1:4" hidden="1" x14ac:dyDescent="0.25">
      <c r="A107" s="52">
        <v>36039</v>
      </c>
      <c r="B107" s="54">
        <v>202821</v>
      </c>
      <c r="C107" s="54">
        <v>1194892</v>
      </c>
      <c r="D107" s="53">
        <f t="shared" si="1"/>
        <v>1397713</v>
      </c>
    </row>
    <row r="108" spans="1:4" hidden="1" x14ac:dyDescent="0.25">
      <c r="A108" s="52">
        <v>36069</v>
      </c>
      <c r="B108" s="54">
        <v>204337</v>
      </c>
      <c r="C108" s="54">
        <v>1213104</v>
      </c>
      <c r="D108" s="53">
        <f t="shared" si="1"/>
        <v>1417441</v>
      </c>
    </row>
    <row r="109" spans="1:4" hidden="1" x14ac:dyDescent="0.25">
      <c r="A109" s="52">
        <v>36100</v>
      </c>
      <c r="B109" s="54">
        <v>208524</v>
      </c>
      <c r="C109" s="54">
        <v>1239873</v>
      </c>
      <c r="D109" s="53">
        <f t="shared" si="1"/>
        <v>1448397</v>
      </c>
    </row>
    <row r="110" spans="1:4" x14ac:dyDescent="0.25">
      <c r="A110" s="52">
        <v>36130</v>
      </c>
      <c r="B110" s="54">
        <v>211616</v>
      </c>
      <c r="C110" s="54">
        <v>1264237</v>
      </c>
      <c r="D110" s="53">
        <f t="shared" si="1"/>
        <v>1475853</v>
      </c>
    </row>
    <row r="111" spans="1:4" hidden="1" x14ac:dyDescent="0.25">
      <c r="A111" s="52">
        <v>36161</v>
      </c>
      <c r="B111" s="54">
        <v>214251</v>
      </c>
      <c r="C111" s="54">
        <v>1276151</v>
      </c>
      <c r="D111" s="53">
        <f t="shared" si="1"/>
        <v>1490402</v>
      </c>
    </row>
    <row r="112" spans="1:4" hidden="1" x14ac:dyDescent="0.25">
      <c r="A112" s="52">
        <v>36192</v>
      </c>
      <c r="B112" s="54">
        <v>217777</v>
      </c>
      <c r="C112" s="54">
        <v>1300109</v>
      </c>
      <c r="D112" s="53">
        <f t="shared" si="1"/>
        <v>1517886</v>
      </c>
    </row>
    <row r="113" spans="1:4" hidden="1" x14ac:dyDescent="0.25">
      <c r="A113" s="52">
        <v>36220</v>
      </c>
      <c r="B113" s="54">
        <v>222753</v>
      </c>
      <c r="C113" s="54">
        <v>1339352</v>
      </c>
      <c r="D113" s="53">
        <f t="shared" si="1"/>
        <v>1562105</v>
      </c>
    </row>
    <row r="114" spans="1:4" hidden="1" x14ac:dyDescent="0.25">
      <c r="A114" s="52">
        <v>36251</v>
      </c>
      <c r="B114" s="54">
        <v>225610</v>
      </c>
      <c r="C114" s="54">
        <v>1352730</v>
      </c>
      <c r="D114" s="53">
        <f t="shared" si="1"/>
        <v>1578340</v>
      </c>
    </row>
    <row r="115" spans="1:4" hidden="1" x14ac:dyDescent="0.25">
      <c r="A115" s="52">
        <v>36281</v>
      </c>
      <c r="B115" s="54">
        <v>230732</v>
      </c>
      <c r="C115" s="54">
        <v>1379039</v>
      </c>
      <c r="D115" s="53">
        <f t="shared" si="1"/>
        <v>1609771</v>
      </c>
    </row>
    <row r="116" spans="1:4" hidden="1" x14ac:dyDescent="0.25">
      <c r="A116" s="52">
        <v>36312</v>
      </c>
      <c r="B116" s="54">
        <v>234978</v>
      </c>
      <c r="C116" s="54">
        <v>1411971</v>
      </c>
      <c r="D116" s="53">
        <f t="shared" si="1"/>
        <v>1646949</v>
      </c>
    </row>
    <row r="117" spans="1:4" hidden="1" x14ac:dyDescent="0.25">
      <c r="A117" s="52">
        <v>36342</v>
      </c>
      <c r="B117" s="54">
        <v>238519</v>
      </c>
      <c r="C117" s="54">
        <v>1437015</v>
      </c>
      <c r="D117" s="53">
        <f t="shared" si="1"/>
        <v>1675534</v>
      </c>
    </row>
    <row r="118" spans="1:4" hidden="1" x14ac:dyDescent="0.25">
      <c r="A118" s="52">
        <v>36373</v>
      </c>
      <c r="B118" s="54">
        <v>240602</v>
      </c>
      <c r="C118" s="54">
        <v>1455710</v>
      </c>
      <c r="D118" s="53">
        <f t="shared" si="1"/>
        <v>1696312</v>
      </c>
    </row>
    <row r="119" spans="1:4" hidden="1" x14ac:dyDescent="0.25">
      <c r="A119" s="52">
        <v>36404</v>
      </c>
      <c r="B119" s="54">
        <v>243431</v>
      </c>
      <c r="C119" s="54">
        <v>1474298</v>
      </c>
      <c r="D119" s="53">
        <f t="shared" si="1"/>
        <v>1717729</v>
      </c>
    </row>
    <row r="120" spans="1:4" hidden="1" x14ac:dyDescent="0.25">
      <c r="A120" s="52">
        <v>36434</v>
      </c>
      <c r="B120" s="54">
        <v>244955</v>
      </c>
      <c r="C120" s="54">
        <v>1482421</v>
      </c>
      <c r="D120" s="53">
        <f t="shared" si="1"/>
        <v>1727376</v>
      </c>
    </row>
    <row r="121" spans="1:4" hidden="1" x14ac:dyDescent="0.25">
      <c r="A121" s="52">
        <v>36465</v>
      </c>
      <c r="B121" s="54">
        <v>248815</v>
      </c>
      <c r="C121" s="54">
        <v>1496863</v>
      </c>
      <c r="D121" s="53">
        <f t="shared" si="1"/>
        <v>1745678</v>
      </c>
    </row>
    <row r="122" spans="1:4" x14ac:dyDescent="0.25">
      <c r="A122" s="52">
        <v>36495</v>
      </c>
      <c r="B122" s="54">
        <v>250769</v>
      </c>
      <c r="C122" s="54">
        <v>1500097</v>
      </c>
      <c r="D122" s="53">
        <f t="shared" si="1"/>
        <v>1750866</v>
      </c>
    </row>
    <row r="123" spans="1:4" hidden="1" x14ac:dyDescent="0.25">
      <c r="A123" s="52">
        <v>36526</v>
      </c>
      <c r="B123" s="54">
        <v>252168</v>
      </c>
      <c r="C123" s="54">
        <v>1514864</v>
      </c>
      <c r="D123" s="53">
        <f t="shared" si="1"/>
        <v>1767032</v>
      </c>
    </row>
    <row r="124" spans="1:4" hidden="1" x14ac:dyDescent="0.25">
      <c r="A124" s="52">
        <v>36557</v>
      </c>
      <c r="B124" s="54">
        <v>254570</v>
      </c>
      <c r="C124" s="54">
        <v>1528534</v>
      </c>
      <c r="D124" s="53">
        <f t="shared" si="1"/>
        <v>1783104</v>
      </c>
    </row>
    <row r="125" spans="1:4" hidden="1" x14ac:dyDescent="0.25">
      <c r="A125" s="52">
        <v>36586</v>
      </c>
      <c r="B125" s="54">
        <v>257461</v>
      </c>
      <c r="C125" s="54">
        <v>1526973</v>
      </c>
      <c r="D125" s="53">
        <f t="shared" si="1"/>
        <v>1784434</v>
      </c>
    </row>
    <row r="126" spans="1:4" hidden="1" x14ac:dyDescent="0.25">
      <c r="A126" s="52">
        <v>36617</v>
      </c>
      <c r="B126" s="54">
        <v>256680</v>
      </c>
      <c r="C126" s="54">
        <v>1537332</v>
      </c>
      <c r="D126" s="53">
        <f t="shared" si="1"/>
        <v>1794012</v>
      </c>
    </row>
    <row r="127" spans="1:4" hidden="1" x14ac:dyDescent="0.25">
      <c r="A127" s="52">
        <v>36647</v>
      </c>
      <c r="B127" s="54">
        <v>257496</v>
      </c>
      <c r="C127" s="54">
        <v>1541097</v>
      </c>
      <c r="D127" s="53">
        <f t="shared" si="1"/>
        <v>1798593</v>
      </c>
    </row>
    <row r="128" spans="1:4" hidden="1" x14ac:dyDescent="0.25">
      <c r="A128" s="52">
        <v>36678</v>
      </c>
      <c r="B128" s="54">
        <v>258340</v>
      </c>
      <c r="C128" s="54">
        <v>1538498</v>
      </c>
      <c r="D128" s="53">
        <f t="shared" si="1"/>
        <v>1796838</v>
      </c>
    </row>
    <row r="129" spans="1:4" hidden="1" x14ac:dyDescent="0.25">
      <c r="A129" s="52">
        <v>36708</v>
      </c>
      <c r="B129" s="54">
        <v>256141</v>
      </c>
      <c r="C129" s="54">
        <v>1526514</v>
      </c>
      <c r="D129" s="53">
        <f t="shared" si="1"/>
        <v>1782655</v>
      </c>
    </row>
    <row r="130" spans="1:4" hidden="1" x14ac:dyDescent="0.25">
      <c r="A130" s="52">
        <v>36739</v>
      </c>
      <c r="B130" s="54">
        <v>256245</v>
      </c>
      <c r="C130" s="54">
        <v>1527663</v>
      </c>
      <c r="D130" s="53">
        <f t="shared" si="1"/>
        <v>1783908</v>
      </c>
    </row>
    <row r="131" spans="1:4" hidden="1" x14ac:dyDescent="0.25">
      <c r="A131" s="52">
        <v>36770</v>
      </c>
      <c r="B131" s="54">
        <v>255609</v>
      </c>
      <c r="C131" s="54">
        <v>1522531</v>
      </c>
      <c r="D131" s="53">
        <f t="shared" si="1"/>
        <v>1778140</v>
      </c>
    </row>
    <row r="132" spans="1:4" hidden="1" x14ac:dyDescent="0.25">
      <c r="A132" s="52">
        <v>36800</v>
      </c>
      <c r="B132" s="54">
        <v>255899</v>
      </c>
      <c r="C132" s="54">
        <v>1509276</v>
      </c>
      <c r="D132" s="53">
        <f t="shared" ref="D132:D195" si="2">SUM(B132:C132)</f>
        <v>1765175</v>
      </c>
    </row>
    <row r="133" spans="1:4" hidden="1" x14ac:dyDescent="0.25">
      <c r="A133" s="52">
        <v>36831</v>
      </c>
      <c r="B133" s="54">
        <v>254246</v>
      </c>
      <c r="C133" s="54">
        <v>1496562</v>
      </c>
      <c r="D133" s="53">
        <f t="shared" si="2"/>
        <v>1750808</v>
      </c>
    </row>
    <row r="134" spans="1:4" x14ac:dyDescent="0.25">
      <c r="A134" s="52">
        <v>36861</v>
      </c>
      <c r="B134" s="54">
        <v>248841</v>
      </c>
      <c r="C134" s="54">
        <v>1469289</v>
      </c>
      <c r="D134" s="53">
        <f t="shared" si="2"/>
        <v>1718130</v>
      </c>
    </row>
    <row r="135" spans="1:4" hidden="1" x14ac:dyDescent="0.25">
      <c r="A135" s="52">
        <v>36892</v>
      </c>
      <c r="B135" s="54">
        <v>249067</v>
      </c>
      <c r="C135" s="54">
        <v>1464048</v>
      </c>
      <c r="D135" s="53">
        <f t="shared" si="2"/>
        <v>1713115</v>
      </c>
    </row>
    <row r="136" spans="1:4" hidden="1" x14ac:dyDescent="0.25">
      <c r="A136" s="52">
        <v>36923</v>
      </c>
      <c r="B136" s="54">
        <v>248398</v>
      </c>
      <c r="C136" s="54">
        <v>1457213</v>
      </c>
      <c r="D136" s="53">
        <f t="shared" si="2"/>
        <v>1705611</v>
      </c>
    </row>
    <row r="137" spans="1:4" hidden="1" x14ac:dyDescent="0.25">
      <c r="A137" s="52">
        <v>36951</v>
      </c>
      <c r="B137" s="54">
        <v>246493</v>
      </c>
      <c r="C137" s="54">
        <v>1458062</v>
      </c>
      <c r="D137" s="53">
        <f t="shared" si="2"/>
        <v>1704555</v>
      </c>
    </row>
    <row r="138" spans="1:4" hidden="1" x14ac:dyDescent="0.25">
      <c r="A138" s="52">
        <v>36982</v>
      </c>
      <c r="B138" s="54">
        <v>246841</v>
      </c>
      <c r="C138" s="54">
        <v>1455684</v>
      </c>
      <c r="D138" s="53">
        <f t="shared" si="2"/>
        <v>1702525</v>
      </c>
    </row>
    <row r="139" spans="1:4" hidden="1" x14ac:dyDescent="0.25">
      <c r="A139" s="52">
        <v>37012</v>
      </c>
      <c r="B139" s="54">
        <v>247071</v>
      </c>
      <c r="C139" s="54">
        <v>1463333</v>
      </c>
      <c r="D139" s="53">
        <f t="shared" si="2"/>
        <v>1710404</v>
      </c>
    </row>
    <row r="140" spans="1:4" hidden="1" x14ac:dyDescent="0.25">
      <c r="A140" s="52">
        <v>37043</v>
      </c>
      <c r="B140" s="54">
        <v>245031</v>
      </c>
      <c r="C140" s="54">
        <v>1467115</v>
      </c>
      <c r="D140" s="53">
        <f t="shared" si="2"/>
        <v>1712146</v>
      </c>
    </row>
    <row r="141" spans="1:4" hidden="1" x14ac:dyDescent="0.25">
      <c r="A141" s="52">
        <v>37073</v>
      </c>
      <c r="B141" s="54">
        <v>244753</v>
      </c>
      <c r="C141" s="54">
        <v>1478392</v>
      </c>
      <c r="D141" s="53">
        <f t="shared" si="2"/>
        <v>1723145</v>
      </c>
    </row>
    <row r="142" spans="1:4" hidden="1" x14ac:dyDescent="0.25">
      <c r="A142" s="52">
        <v>37104</v>
      </c>
      <c r="B142" s="54">
        <v>244410</v>
      </c>
      <c r="C142" s="54">
        <v>1481819</v>
      </c>
      <c r="D142" s="53">
        <f t="shared" si="2"/>
        <v>1726229</v>
      </c>
    </row>
    <row r="143" spans="1:4" hidden="1" x14ac:dyDescent="0.25">
      <c r="A143" s="52">
        <v>37135</v>
      </c>
      <c r="B143" s="54">
        <v>244357</v>
      </c>
      <c r="C143" s="54">
        <v>1479633</v>
      </c>
      <c r="D143" s="53">
        <f t="shared" si="2"/>
        <v>1723990</v>
      </c>
    </row>
    <row r="144" spans="1:4" hidden="1" x14ac:dyDescent="0.25">
      <c r="A144" s="52">
        <v>37165</v>
      </c>
      <c r="B144" s="54">
        <v>244810</v>
      </c>
      <c r="C144" s="54">
        <v>1491804</v>
      </c>
      <c r="D144" s="53">
        <f t="shared" si="2"/>
        <v>1736614</v>
      </c>
    </row>
    <row r="145" spans="1:4" hidden="1" x14ac:dyDescent="0.25">
      <c r="A145" s="52">
        <v>37196</v>
      </c>
      <c r="B145" s="54">
        <v>243551</v>
      </c>
      <c r="C145" s="54">
        <v>1494721</v>
      </c>
      <c r="D145" s="53">
        <f t="shared" si="2"/>
        <v>1738272</v>
      </c>
    </row>
    <row r="146" spans="1:4" x14ac:dyDescent="0.25">
      <c r="A146" s="52">
        <v>37226</v>
      </c>
      <c r="B146" s="54">
        <v>245830</v>
      </c>
      <c r="C146" s="54">
        <v>1505263</v>
      </c>
      <c r="D146" s="53">
        <f t="shared" si="2"/>
        <v>1751093</v>
      </c>
    </row>
    <row r="147" spans="1:4" hidden="1" x14ac:dyDescent="0.25">
      <c r="A147" s="52">
        <v>37257</v>
      </c>
      <c r="B147" s="54">
        <v>244979</v>
      </c>
      <c r="C147" s="54">
        <v>1509256</v>
      </c>
      <c r="D147" s="53">
        <f t="shared" si="2"/>
        <v>1754235</v>
      </c>
    </row>
    <row r="148" spans="1:4" hidden="1" x14ac:dyDescent="0.25">
      <c r="A148" s="52">
        <v>37288</v>
      </c>
      <c r="B148" s="54">
        <v>241642</v>
      </c>
      <c r="C148" s="54">
        <v>1497019</v>
      </c>
      <c r="D148" s="53">
        <f t="shared" si="2"/>
        <v>1738661</v>
      </c>
    </row>
    <row r="149" spans="1:4" hidden="1" x14ac:dyDescent="0.25">
      <c r="A149" s="52">
        <v>37316</v>
      </c>
      <c r="B149" s="54">
        <v>236873</v>
      </c>
      <c r="C149" s="54">
        <v>1473886</v>
      </c>
      <c r="D149" s="53">
        <f t="shared" si="2"/>
        <v>1710759</v>
      </c>
    </row>
    <row r="150" spans="1:4" hidden="1" x14ac:dyDescent="0.25">
      <c r="A150" s="52">
        <v>37347</v>
      </c>
      <c r="B150" s="54">
        <v>236471</v>
      </c>
      <c r="C150" s="54">
        <v>1465007</v>
      </c>
      <c r="D150" s="53">
        <f t="shared" si="2"/>
        <v>1701478</v>
      </c>
    </row>
    <row r="151" spans="1:4" hidden="1" x14ac:dyDescent="0.25">
      <c r="A151" s="52">
        <v>37377</v>
      </c>
      <c r="B151" s="54">
        <v>234831</v>
      </c>
      <c r="C151" s="54">
        <v>1456323</v>
      </c>
      <c r="D151" s="53">
        <f t="shared" si="2"/>
        <v>1691154</v>
      </c>
    </row>
    <row r="152" spans="1:4" hidden="1" x14ac:dyDescent="0.25">
      <c r="A152" s="52">
        <v>37408</v>
      </c>
      <c r="B152" s="54">
        <v>232137</v>
      </c>
      <c r="C152" s="54">
        <v>1431198</v>
      </c>
      <c r="D152" s="53">
        <f t="shared" si="2"/>
        <v>1663335</v>
      </c>
    </row>
    <row r="153" spans="1:4" hidden="1" x14ac:dyDescent="0.25">
      <c r="A153" s="52">
        <v>37438</v>
      </c>
      <c r="B153" s="54">
        <v>235515</v>
      </c>
      <c r="C153" s="54">
        <v>1421330</v>
      </c>
      <c r="D153" s="53">
        <f t="shared" si="2"/>
        <v>1656845</v>
      </c>
    </row>
    <row r="154" spans="1:4" hidden="1" x14ac:dyDescent="0.25">
      <c r="A154" s="52">
        <v>37469</v>
      </c>
      <c r="B154" s="54">
        <v>234276</v>
      </c>
      <c r="C154" s="54">
        <v>1412047</v>
      </c>
      <c r="D154" s="53">
        <f t="shared" si="2"/>
        <v>1646323</v>
      </c>
    </row>
    <row r="155" spans="1:4" hidden="1" x14ac:dyDescent="0.25">
      <c r="A155" s="52">
        <v>37500</v>
      </c>
      <c r="B155" s="54">
        <v>233250</v>
      </c>
      <c r="C155" s="54">
        <v>1408514</v>
      </c>
      <c r="D155" s="53">
        <f t="shared" si="2"/>
        <v>1641764</v>
      </c>
    </row>
    <row r="156" spans="1:4" hidden="1" x14ac:dyDescent="0.25">
      <c r="A156" s="52">
        <v>37530</v>
      </c>
      <c r="B156" s="54">
        <v>234141</v>
      </c>
      <c r="C156" s="54">
        <v>1408361</v>
      </c>
      <c r="D156" s="53">
        <f t="shared" si="2"/>
        <v>1642502</v>
      </c>
    </row>
    <row r="157" spans="1:4" hidden="1" x14ac:dyDescent="0.25">
      <c r="A157" s="52">
        <v>37561</v>
      </c>
      <c r="B157" s="54">
        <v>232876</v>
      </c>
      <c r="C157" s="54">
        <v>1398409</v>
      </c>
      <c r="D157" s="53">
        <f t="shared" si="2"/>
        <v>1631285</v>
      </c>
    </row>
    <row r="158" spans="1:4" x14ac:dyDescent="0.25">
      <c r="A158" s="52">
        <v>37591</v>
      </c>
      <c r="B158" s="54">
        <v>235745</v>
      </c>
      <c r="C158" s="54">
        <v>1405275</v>
      </c>
      <c r="D158" s="53">
        <f t="shared" si="2"/>
        <v>1641020</v>
      </c>
    </row>
    <row r="159" spans="1:4" hidden="1" x14ac:dyDescent="0.25">
      <c r="A159" s="52">
        <v>37622</v>
      </c>
      <c r="B159" s="54">
        <v>235862</v>
      </c>
      <c r="C159" s="54">
        <v>1399897</v>
      </c>
      <c r="D159" s="53">
        <f t="shared" si="2"/>
        <v>1635759</v>
      </c>
    </row>
    <row r="160" spans="1:4" hidden="1" x14ac:dyDescent="0.25">
      <c r="A160" s="52">
        <v>37653</v>
      </c>
      <c r="B160" s="54">
        <v>236768</v>
      </c>
      <c r="C160" s="54">
        <v>1393615</v>
      </c>
      <c r="D160" s="53">
        <f t="shared" si="2"/>
        <v>1630383</v>
      </c>
    </row>
    <row r="161" spans="1:4" hidden="1" x14ac:dyDescent="0.25">
      <c r="A161" s="52">
        <v>37681</v>
      </c>
      <c r="B161" s="54">
        <v>239263</v>
      </c>
      <c r="C161" s="54">
        <v>1387677</v>
      </c>
      <c r="D161" s="53">
        <f t="shared" si="2"/>
        <v>1626940</v>
      </c>
    </row>
    <row r="162" spans="1:4" hidden="1" x14ac:dyDescent="0.25">
      <c r="A162" s="52">
        <v>37712</v>
      </c>
      <c r="B162" s="54">
        <v>240583</v>
      </c>
      <c r="C162" s="54">
        <v>1395201</v>
      </c>
      <c r="D162" s="53">
        <f t="shared" si="2"/>
        <v>1635784</v>
      </c>
    </row>
    <row r="163" spans="1:4" hidden="1" x14ac:dyDescent="0.25">
      <c r="A163" s="52">
        <v>37742</v>
      </c>
      <c r="B163" s="54">
        <v>241216</v>
      </c>
      <c r="C163" s="54">
        <v>1388584</v>
      </c>
      <c r="D163" s="53">
        <f t="shared" si="2"/>
        <v>1629800</v>
      </c>
    </row>
    <row r="164" spans="1:4" hidden="1" x14ac:dyDescent="0.25">
      <c r="A164" s="52">
        <v>37773</v>
      </c>
      <c r="B164" s="54">
        <v>244751</v>
      </c>
      <c r="C164" s="54">
        <v>1401575</v>
      </c>
      <c r="D164" s="53">
        <f t="shared" si="2"/>
        <v>1646326</v>
      </c>
    </row>
    <row r="165" spans="1:4" hidden="1" x14ac:dyDescent="0.25">
      <c r="A165" s="52">
        <v>37803</v>
      </c>
      <c r="B165" s="54">
        <v>244278</v>
      </c>
      <c r="C165" s="54">
        <v>1411897</v>
      </c>
      <c r="D165" s="53">
        <f t="shared" si="2"/>
        <v>1656175</v>
      </c>
    </row>
    <row r="166" spans="1:4" hidden="1" x14ac:dyDescent="0.25">
      <c r="A166" s="52">
        <v>37834</v>
      </c>
      <c r="B166" s="54">
        <v>245326</v>
      </c>
      <c r="C166" s="54">
        <v>1415394</v>
      </c>
      <c r="D166" s="53">
        <f t="shared" si="2"/>
        <v>1660720</v>
      </c>
    </row>
    <row r="167" spans="1:4" hidden="1" x14ac:dyDescent="0.25">
      <c r="A167" s="52">
        <v>37865</v>
      </c>
      <c r="B167" s="54">
        <v>247669</v>
      </c>
      <c r="C167" s="54">
        <v>1427862</v>
      </c>
      <c r="D167" s="53">
        <f t="shared" si="2"/>
        <v>1675531</v>
      </c>
    </row>
    <row r="168" spans="1:4" hidden="1" x14ac:dyDescent="0.25">
      <c r="A168" s="52">
        <v>37895</v>
      </c>
      <c r="B168" s="54">
        <v>249620</v>
      </c>
      <c r="C168" s="54">
        <v>1438253</v>
      </c>
      <c r="D168" s="53">
        <f t="shared" si="2"/>
        <v>1687873</v>
      </c>
    </row>
    <row r="169" spans="1:4" hidden="1" x14ac:dyDescent="0.25">
      <c r="A169" s="52">
        <v>37926</v>
      </c>
      <c r="B169" s="54">
        <v>251577</v>
      </c>
      <c r="C169" s="54">
        <v>1451886</v>
      </c>
      <c r="D169" s="53">
        <f t="shared" si="2"/>
        <v>1703463</v>
      </c>
    </row>
    <row r="170" spans="1:4" x14ac:dyDescent="0.25">
      <c r="A170" s="52">
        <v>37956</v>
      </c>
      <c r="B170" s="54">
        <v>250960</v>
      </c>
      <c r="C170" s="54">
        <v>1465077</v>
      </c>
      <c r="D170" s="53">
        <f t="shared" si="2"/>
        <v>1716037</v>
      </c>
    </row>
    <row r="171" spans="1:4" hidden="1" x14ac:dyDescent="0.25">
      <c r="A171" s="52">
        <v>37987</v>
      </c>
      <c r="B171" s="54">
        <v>251852</v>
      </c>
      <c r="C171" s="54">
        <v>1474764</v>
      </c>
      <c r="D171" s="53">
        <f t="shared" si="2"/>
        <v>1726616</v>
      </c>
    </row>
    <row r="172" spans="1:4" hidden="1" x14ac:dyDescent="0.25">
      <c r="A172" s="52">
        <v>38018</v>
      </c>
      <c r="B172" s="54">
        <v>254231</v>
      </c>
      <c r="C172" s="54">
        <v>1498301</v>
      </c>
      <c r="D172" s="53">
        <f t="shared" si="2"/>
        <v>1752532</v>
      </c>
    </row>
    <row r="173" spans="1:4" hidden="1" x14ac:dyDescent="0.25">
      <c r="A173" s="52">
        <v>38047</v>
      </c>
      <c r="B173" s="54">
        <v>258377</v>
      </c>
      <c r="C173" s="54">
        <v>1534397</v>
      </c>
      <c r="D173" s="53">
        <f t="shared" si="2"/>
        <v>1792774</v>
      </c>
    </row>
    <row r="174" spans="1:4" hidden="1" x14ac:dyDescent="0.25">
      <c r="A174" s="52">
        <v>38078</v>
      </c>
      <c r="B174" s="54">
        <v>259844</v>
      </c>
      <c r="C174" s="54">
        <v>1540770</v>
      </c>
      <c r="D174" s="53">
        <f t="shared" si="2"/>
        <v>1800614</v>
      </c>
    </row>
    <row r="175" spans="1:4" hidden="1" x14ac:dyDescent="0.25">
      <c r="A175" s="52">
        <v>38108</v>
      </c>
      <c r="B175" s="54">
        <v>261832</v>
      </c>
      <c r="C175" s="54">
        <v>1552793</v>
      </c>
      <c r="D175" s="53">
        <f t="shared" si="2"/>
        <v>1814625</v>
      </c>
    </row>
    <row r="176" spans="1:4" hidden="1" x14ac:dyDescent="0.25">
      <c r="A176" s="52">
        <v>38139</v>
      </c>
      <c r="B176" s="54">
        <v>264561</v>
      </c>
      <c r="C176" s="54">
        <v>1575335</v>
      </c>
      <c r="D176" s="53">
        <f t="shared" si="2"/>
        <v>1839896</v>
      </c>
    </row>
    <row r="177" spans="1:4" hidden="1" x14ac:dyDescent="0.25">
      <c r="A177" s="52">
        <v>38169</v>
      </c>
      <c r="B177" s="54">
        <v>265166</v>
      </c>
      <c r="C177" s="54">
        <v>1582290</v>
      </c>
      <c r="D177" s="53">
        <f t="shared" si="2"/>
        <v>1847456</v>
      </c>
    </row>
    <row r="178" spans="1:4" hidden="1" x14ac:dyDescent="0.25">
      <c r="A178" s="52">
        <v>38200</v>
      </c>
      <c r="B178" s="54">
        <v>266893</v>
      </c>
      <c r="C178" s="54">
        <v>1589028</v>
      </c>
      <c r="D178" s="53">
        <f t="shared" si="2"/>
        <v>1855921</v>
      </c>
    </row>
    <row r="179" spans="1:4" hidden="1" x14ac:dyDescent="0.25">
      <c r="A179" s="52">
        <v>38231</v>
      </c>
      <c r="B179" s="54">
        <v>269391</v>
      </c>
      <c r="C179" s="54">
        <v>1596073</v>
      </c>
      <c r="D179" s="53">
        <f t="shared" si="2"/>
        <v>1865464</v>
      </c>
    </row>
    <row r="180" spans="1:4" hidden="1" x14ac:dyDescent="0.25">
      <c r="A180" s="52">
        <v>38261</v>
      </c>
      <c r="B180" s="54">
        <v>268241</v>
      </c>
      <c r="C180" s="54">
        <v>1594547</v>
      </c>
      <c r="D180" s="53">
        <f t="shared" si="2"/>
        <v>1862788</v>
      </c>
    </row>
    <row r="181" spans="1:4" hidden="1" x14ac:dyDescent="0.25">
      <c r="A181" s="52">
        <v>38292</v>
      </c>
      <c r="B181" s="54">
        <v>272704</v>
      </c>
      <c r="C181" s="54">
        <v>1610529</v>
      </c>
      <c r="D181" s="53">
        <f t="shared" si="2"/>
        <v>1883233</v>
      </c>
    </row>
    <row r="182" spans="1:4" x14ac:dyDescent="0.25">
      <c r="A182" s="52">
        <v>38322</v>
      </c>
      <c r="B182" s="54">
        <v>277175</v>
      </c>
      <c r="C182" s="54">
        <v>1615942</v>
      </c>
      <c r="D182" s="53">
        <f t="shared" si="2"/>
        <v>1893117</v>
      </c>
    </row>
    <row r="183" spans="1:4" hidden="1" x14ac:dyDescent="0.25">
      <c r="A183" s="52">
        <v>38353</v>
      </c>
      <c r="B183" s="54">
        <v>279050</v>
      </c>
      <c r="C183" s="54">
        <v>1623827</v>
      </c>
      <c r="D183" s="53">
        <f t="shared" si="2"/>
        <v>1902877</v>
      </c>
    </row>
    <row r="184" spans="1:4" hidden="1" x14ac:dyDescent="0.25">
      <c r="A184" s="52">
        <v>38384</v>
      </c>
      <c r="B184" s="54">
        <v>280736</v>
      </c>
      <c r="C184" s="54">
        <v>1624432</v>
      </c>
      <c r="D184" s="53">
        <f t="shared" si="2"/>
        <v>1905168</v>
      </c>
    </row>
    <row r="185" spans="1:4" hidden="1" x14ac:dyDescent="0.25">
      <c r="A185" s="52">
        <v>38412</v>
      </c>
      <c r="B185" s="54">
        <v>282341</v>
      </c>
      <c r="C185" s="54">
        <v>1621312</v>
      </c>
      <c r="D185" s="53">
        <f t="shared" si="2"/>
        <v>1903653</v>
      </c>
    </row>
    <row r="186" spans="1:4" hidden="1" x14ac:dyDescent="0.25">
      <c r="A186" s="52">
        <v>38443</v>
      </c>
      <c r="B186" s="54">
        <v>287427</v>
      </c>
      <c r="C186" s="54">
        <v>1633197</v>
      </c>
      <c r="D186" s="53">
        <f t="shared" si="2"/>
        <v>1920624</v>
      </c>
    </row>
    <row r="187" spans="1:4" hidden="1" x14ac:dyDescent="0.25">
      <c r="A187" s="52">
        <v>38473</v>
      </c>
      <c r="B187" s="54">
        <v>291933</v>
      </c>
      <c r="C187" s="54">
        <v>1644849</v>
      </c>
      <c r="D187" s="53">
        <f t="shared" si="2"/>
        <v>1936782</v>
      </c>
    </row>
    <row r="188" spans="1:4" hidden="1" x14ac:dyDescent="0.25">
      <c r="A188" s="52">
        <v>38504</v>
      </c>
      <c r="B188" s="54">
        <v>295182</v>
      </c>
      <c r="C188" s="54">
        <v>1650261</v>
      </c>
      <c r="D188" s="53">
        <f t="shared" si="2"/>
        <v>1945443</v>
      </c>
    </row>
    <row r="189" spans="1:4" hidden="1" x14ac:dyDescent="0.25">
      <c r="A189" s="52">
        <v>38534</v>
      </c>
      <c r="B189" s="54">
        <v>295474</v>
      </c>
      <c r="C189" s="54">
        <v>1646653</v>
      </c>
      <c r="D189" s="53">
        <f t="shared" si="2"/>
        <v>1942127</v>
      </c>
    </row>
    <row r="190" spans="1:4" hidden="1" x14ac:dyDescent="0.25">
      <c r="A190" s="52">
        <v>38565</v>
      </c>
      <c r="B190" s="54">
        <v>299166</v>
      </c>
      <c r="C190" s="54">
        <v>1656671</v>
      </c>
      <c r="D190" s="53">
        <f t="shared" si="2"/>
        <v>1955837</v>
      </c>
    </row>
    <row r="191" spans="1:4" hidden="1" x14ac:dyDescent="0.25">
      <c r="A191" s="52">
        <v>38596</v>
      </c>
      <c r="B191" s="54">
        <v>301055</v>
      </c>
      <c r="C191" s="54">
        <v>1662837</v>
      </c>
      <c r="D191" s="53">
        <f t="shared" si="2"/>
        <v>1963892</v>
      </c>
    </row>
    <row r="192" spans="1:4" hidden="1" x14ac:dyDescent="0.25">
      <c r="A192" s="52">
        <v>38626</v>
      </c>
      <c r="B192" s="54">
        <v>301679</v>
      </c>
      <c r="C192" s="54">
        <v>1651349</v>
      </c>
      <c r="D192" s="53">
        <f t="shared" si="2"/>
        <v>1953028</v>
      </c>
    </row>
    <row r="193" spans="1:4" hidden="1" x14ac:dyDescent="0.25">
      <c r="A193" s="52">
        <v>38657</v>
      </c>
      <c r="B193" s="54">
        <v>304148</v>
      </c>
      <c r="C193" s="54">
        <v>1647872</v>
      </c>
      <c r="D193" s="53">
        <f t="shared" si="2"/>
        <v>1952020</v>
      </c>
    </row>
    <row r="194" spans="1:4" x14ac:dyDescent="0.25">
      <c r="A194" s="52">
        <v>38687</v>
      </c>
      <c r="B194" s="54">
        <v>307671</v>
      </c>
      <c r="C194" s="54">
        <v>1649320</v>
      </c>
      <c r="D194" s="53">
        <f t="shared" si="2"/>
        <v>1956991</v>
      </c>
    </row>
    <row r="195" spans="1:4" hidden="1" x14ac:dyDescent="0.25">
      <c r="A195" s="52">
        <v>38718</v>
      </c>
      <c r="B195" s="54">
        <v>306775</v>
      </c>
      <c r="C195" s="54">
        <v>1648597</v>
      </c>
      <c r="D195" s="53">
        <f t="shared" si="2"/>
        <v>1955372</v>
      </c>
    </row>
    <row r="196" spans="1:4" hidden="1" x14ac:dyDescent="0.25">
      <c r="A196" s="52">
        <v>38749</v>
      </c>
      <c r="B196" s="54">
        <v>308592</v>
      </c>
      <c r="C196" s="54">
        <v>1646522</v>
      </c>
      <c r="D196" s="53">
        <f t="shared" ref="D196:D259" si="3">SUM(B196:C196)</f>
        <v>1955114</v>
      </c>
    </row>
    <row r="197" spans="1:4" hidden="1" x14ac:dyDescent="0.25">
      <c r="A197" s="52">
        <v>38777</v>
      </c>
      <c r="B197" s="54">
        <v>313425</v>
      </c>
      <c r="C197" s="54">
        <v>1660384</v>
      </c>
      <c r="D197" s="53">
        <f t="shared" si="3"/>
        <v>1973809</v>
      </c>
    </row>
    <row r="198" spans="1:4" hidden="1" x14ac:dyDescent="0.25">
      <c r="A198" s="52">
        <v>38808</v>
      </c>
      <c r="B198" s="54">
        <v>310856</v>
      </c>
      <c r="C198" s="54">
        <v>1644827</v>
      </c>
      <c r="D198" s="53">
        <f t="shared" si="3"/>
        <v>1955683</v>
      </c>
    </row>
    <row r="199" spans="1:4" hidden="1" x14ac:dyDescent="0.25">
      <c r="A199" s="52">
        <v>38838</v>
      </c>
      <c r="B199" s="54">
        <v>312057</v>
      </c>
      <c r="C199" s="54">
        <v>1647339</v>
      </c>
      <c r="D199" s="53">
        <f t="shared" si="3"/>
        <v>1959396</v>
      </c>
    </row>
    <row r="200" spans="1:4" hidden="1" x14ac:dyDescent="0.25">
      <c r="A200" s="52">
        <v>38869</v>
      </c>
      <c r="B200" s="54">
        <v>313670</v>
      </c>
      <c r="C200" s="54">
        <v>1643440</v>
      </c>
      <c r="D200" s="53">
        <f t="shared" si="3"/>
        <v>1957110</v>
      </c>
    </row>
    <row r="201" spans="1:4" hidden="1" x14ac:dyDescent="0.25">
      <c r="A201" s="52">
        <v>38899</v>
      </c>
      <c r="B201" s="54">
        <v>310419</v>
      </c>
      <c r="C201" s="54">
        <v>1637123</v>
      </c>
      <c r="D201" s="53">
        <f t="shared" si="3"/>
        <v>1947542</v>
      </c>
    </row>
    <row r="202" spans="1:4" hidden="1" x14ac:dyDescent="0.25">
      <c r="A202" s="52">
        <v>38930</v>
      </c>
      <c r="B202" s="54">
        <v>311564</v>
      </c>
      <c r="C202" s="54">
        <v>1634464</v>
      </c>
      <c r="D202" s="53">
        <f t="shared" si="3"/>
        <v>1946028</v>
      </c>
    </row>
    <row r="203" spans="1:4" hidden="1" x14ac:dyDescent="0.25">
      <c r="A203" s="52">
        <v>38961</v>
      </c>
      <c r="B203" s="54">
        <v>312080</v>
      </c>
      <c r="C203" s="54">
        <v>1627611</v>
      </c>
      <c r="D203" s="53">
        <f t="shared" si="3"/>
        <v>1939691</v>
      </c>
    </row>
    <row r="204" spans="1:4" hidden="1" x14ac:dyDescent="0.25">
      <c r="A204" s="52">
        <v>38991</v>
      </c>
      <c r="B204" s="54">
        <v>314908</v>
      </c>
      <c r="C204" s="54">
        <v>1636915</v>
      </c>
      <c r="D204" s="53">
        <f t="shared" si="3"/>
        <v>1951823</v>
      </c>
    </row>
    <row r="205" spans="1:4" hidden="1" x14ac:dyDescent="0.25">
      <c r="A205" s="52">
        <v>39022</v>
      </c>
      <c r="B205" s="54">
        <v>315271</v>
      </c>
      <c r="C205" s="54">
        <v>1639914</v>
      </c>
      <c r="D205" s="53">
        <f t="shared" si="3"/>
        <v>1955185</v>
      </c>
    </row>
    <row r="206" spans="1:4" x14ac:dyDescent="0.25">
      <c r="A206" s="52">
        <v>39052</v>
      </c>
      <c r="B206" s="54">
        <v>312179</v>
      </c>
      <c r="C206" s="54">
        <v>1634608</v>
      </c>
      <c r="D206" s="53">
        <f t="shared" si="3"/>
        <v>1946787</v>
      </c>
    </row>
    <row r="207" spans="1:4" hidden="1" x14ac:dyDescent="0.25">
      <c r="A207" s="52">
        <v>39083</v>
      </c>
      <c r="B207" s="54">
        <v>316955</v>
      </c>
      <c r="C207" s="54">
        <v>1637621</v>
      </c>
      <c r="D207" s="53">
        <f t="shared" si="3"/>
        <v>1954576</v>
      </c>
    </row>
    <row r="208" spans="1:4" hidden="1" x14ac:dyDescent="0.25">
      <c r="A208" s="52">
        <v>39114</v>
      </c>
      <c r="B208" s="54">
        <v>316161</v>
      </c>
      <c r="C208" s="54">
        <v>1632044</v>
      </c>
      <c r="D208" s="53">
        <f t="shared" si="3"/>
        <v>1948205</v>
      </c>
    </row>
    <row r="209" spans="1:4" hidden="1" x14ac:dyDescent="0.25">
      <c r="A209" s="52">
        <v>39142</v>
      </c>
      <c r="B209" s="54">
        <v>315988</v>
      </c>
      <c r="C209" s="54">
        <v>1631643</v>
      </c>
      <c r="D209" s="53">
        <f t="shared" si="3"/>
        <v>1947631</v>
      </c>
    </row>
    <row r="210" spans="1:4" hidden="1" x14ac:dyDescent="0.25">
      <c r="A210" s="52">
        <v>39173</v>
      </c>
      <c r="B210" s="54">
        <v>317443</v>
      </c>
      <c r="C210" s="54">
        <v>1623852</v>
      </c>
      <c r="D210" s="53">
        <f t="shared" si="3"/>
        <v>1941295</v>
      </c>
    </row>
    <row r="211" spans="1:4" hidden="1" x14ac:dyDescent="0.25">
      <c r="A211" s="52">
        <v>39203</v>
      </c>
      <c r="B211" s="54">
        <v>317859</v>
      </c>
      <c r="C211" s="54">
        <v>1623590</v>
      </c>
      <c r="D211" s="53">
        <f t="shared" si="3"/>
        <v>1941449</v>
      </c>
    </row>
    <row r="212" spans="1:4" hidden="1" x14ac:dyDescent="0.25">
      <c r="A212" s="52">
        <v>39234</v>
      </c>
      <c r="B212" s="54">
        <v>317946</v>
      </c>
      <c r="C212" s="54">
        <v>1620566</v>
      </c>
      <c r="D212" s="53">
        <f t="shared" si="3"/>
        <v>1938512</v>
      </c>
    </row>
    <row r="213" spans="1:4" hidden="1" x14ac:dyDescent="0.25">
      <c r="A213" s="52">
        <v>39264</v>
      </c>
      <c r="B213" s="54">
        <v>325940</v>
      </c>
      <c r="C213" s="54">
        <v>1620542</v>
      </c>
      <c r="D213" s="53">
        <f t="shared" si="3"/>
        <v>1946482</v>
      </c>
    </row>
    <row r="214" spans="1:4" hidden="1" x14ac:dyDescent="0.25">
      <c r="A214" s="52">
        <v>39295</v>
      </c>
      <c r="B214" s="54">
        <v>325478</v>
      </c>
      <c r="C214" s="54">
        <v>1617817</v>
      </c>
      <c r="D214" s="53">
        <f t="shared" si="3"/>
        <v>1943295</v>
      </c>
    </row>
    <row r="215" spans="1:4" hidden="1" x14ac:dyDescent="0.25">
      <c r="A215" s="52">
        <v>39326</v>
      </c>
      <c r="B215" s="54">
        <v>323379</v>
      </c>
      <c r="C215" s="54">
        <v>1609800</v>
      </c>
      <c r="D215" s="53">
        <f t="shared" si="3"/>
        <v>1933179</v>
      </c>
    </row>
    <row r="216" spans="1:4" hidden="1" x14ac:dyDescent="0.25">
      <c r="A216" s="52">
        <v>39356</v>
      </c>
      <c r="B216" s="54">
        <v>324791</v>
      </c>
      <c r="C216" s="54">
        <v>1614075</v>
      </c>
      <c r="D216" s="53">
        <f t="shared" si="3"/>
        <v>1938866</v>
      </c>
    </row>
    <row r="217" spans="1:4" hidden="1" x14ac:dyDescent="0.25">
      <c r="A217" s="52">
        <v>39387</v>
      </c>
      <c r="B217" s="54">
        <v>322546</v>
      </c>
      <c r="C217" s="54">
        <v>1606279</v>
      </c>
      <c r="D217" s="53">
        <f t="shared" si="3"/>
        <v>1928825</v>
      </c>
    </row>
    <row r="218" spans="1:4" x14ac:dyDescent="0.25">
      <c r="A218" s="52">
        <v>39417</v>
      </c>
      <c r="B218" s="54">
        <v>324480</v>
      </c>
      <c r="C218" s="54">
        <v>1614835</v>
      </c>
      <c r="D218" s="53">
        <f t="shared" si="3"/>
        <v>1939315</v>
      </c>
    </row>
    <row r="219" spans="1:4" hidden="1" x14ac:dyDescent="0.25">
      <c r="A219" s="52">
        <v>39448</v>
      </c>
      <c r="B219" s="54">
        <v>319353</v>
      </c>
      <c r="C219" s="54">
        <v>1600033</v>
      </c>
      <c r="D219" s="53">
        <f t="shared" si="3"/>
        <v>1919386</v>
      </c>
    </row>
    <row r="220" spans="1:4" hidden="1" x14ac:dyDescent="0.25">
      <c r="A220" s="52">
        <v>39479</v>
      </c>
      <c r="B220" s="54">
        <v>317953</v>
      </c>
      <c r="C220" s="54">
        <v>1600926</v>
      </c>
      <c r="D220" s="53">
        <f t="shared" si="3"/>
        <v>1918879</v>
      </c>
    </row>
    <row r="221" spans="1:4" hidden="1" x14ac:dyDescent="0.25">
      <c r="A221" s="52">
        <v>39508</v>
      </c>
      <c r="B221" s="54">
        <v>306734</v>
      </c>
      <c r="C221" s="54">
        <v>1551912</v>
      </c>
      <c r="D221" s="53">
        <f t="shared" si="3"/>
        <v>1858646</v>
      </c>
    </row>
    <row r="222" spans="1:4" hidden="1" x14ac:dyDescent="0.25">
      <c r="A222" s="52">
        <v>39539</v>
      </c>
      <c r="B222" s="54">
        <v>303677</v>
      </c>
      <c r="C222" s="54">
        <v>1553788</v>
      </c>
      <c r="D222" s="53">
        <f t="shared" si="3"/>
        <v>1857465</v>
      </c>
    </row>
    <row r="223" spans="1:4" hidden="1" x14ac:dyDescent="0.25">
      <c r="A223" s="52">
        <v>39569</v>
      </c>
      <c r="B223" s="54">
        <v>293958</v>
      </c>
      <c r="C223" s="54">
        <v>1516504</v>
      </c>
      <c r="D223" s="53">
        <f t="shared" si="3"/>
        <v>1810462</v>
      </c>
    </row>
    <row r="224" spans="1:4" hidden="1" x14ac:dyDescent="0.25">
      <c r="A224" s="52">
        <v>39600</v>
      </c>
      <c r="B224" s="54">
        <v>281246</v>
      </c>
      <c r="C224" s="54">
        <v>1465246</v>
      </c>
      <c r="D224" s="53">
        <f t="shared" si="3"/>
        <v>1746492</v>
      </c>
    </row>
    <row r="225" spans="1:4" hidden="1" x14ac:dyDescent="0.25">
      <c r="A225" s="52">
        <v>39630</v>
      </c>
      <c r="B225" s="54">
        <v>269168</v>
      </c>
      <c r="C225" s="54">
        <v>1419316</v>
      </c>
      <c r="D225" s="53">
        <f t="shared" si="3"/>
        <v>1688484</v>
      </c>
    </row>
    <row r="226" spans="1:4" hidden="1" x14ac:dyDescent="0.25">
      <c r="A226" s="52">
        <v>39661</v>
      </c>
      <c r="B226" s="54">
        <v>258148</v>
      </c>
      <c r="C226" s="54">
        <v>1378182</v>
      </c>
      <c r="D226" s="53">
        <f t="shared" si="3"/>
        <v>1636330</v>
      </c>
    </row>
    <row r="227" spans="1:4" hidden="1" x14ac:dyDescent="0.25">
      <c r="A227" s="52">
        <v>39692</v>
      </c>
      <c r="B227" s="54">
        <v>249066</v>
      </c>
      <c r="C227" s="54">
        <v>1347022</v>
      </c>
      <c r="D227" s="53">
        <f t="shared" si="3"/>
        <v>1596088</v>
      </c>
    </row>
    <row r="228" spans="1:4" hidden="1" x14ac:dyDescent="0.25">
      <c r="A228" s="52">
        <v>39722</v>
      </c>
      <c r="B228" s="54">
        <v>234746</v>
      </c>
      <c r="C228" s="54">
        <v>1295324</v>
      </c>
      <c r="D228" s="53">
        <f t="shared" si="3"/>
        <v>1530070</v>
      </c>
    </row>
    <row r="229" spans="1:4" hidden="1" x14ac:dyDescent="0.25">
      <c r="A229" s="52">
        <v>39753</v>
      </c>
      <c r="B229" s="54">
        <v>218442</v>
      </c>
      <c r="C229" s="54">
        <v>1233240</v>
      </c>
      <c r="D229" s="53">
        <f t="shared" si="3"/>
        <v>1451682</v>
      </c>
    </row>
    <row r="230" spans="1:4" x14ac:dyDescent="0.25">
      <c r="A230" s="52">
        <v>39783</v>
      </c>
      <c r="B230" s="54">
        <v>201359</v>
      </c>
      <c r="C230" s="54">
        <v>1161176</v>
      </c>
      <c r="D230" s="53">
        <f t="shared" si="3"/>
        <v>1362535</v>
      </c>
    </row>
    <row r="231" spans="1:4" hidden="1" x14ac:dyDescent="0.25">
      <c r="A231" s="52">
        <v>39814</v>
      </c>
      <c r="B231" s="54">
        <v>190371</v>
      </c>
      <c r="C231" s="54">
        <v>1118940</v>
      </c>
      <c r="D231" s="53">
        <f t="shared" si="3"/>
        <v>1309311</v>
      </c>
    </row>
    <row r="232" spans="1:4" hidden="1" x14ac:dyDescent="0.25">
      <c r="A232" s="52">
        <v>39845</v>
      </c>
      <c r="B232" s="54">
        <v>176479</v>
      </c>
      <c r="C232" s="54">
        <v>1059632</v>
      </c>
      <c r="D232" s="53">
        <f t="shared" si="3"/>
        <v>1236111</v>
      </c>
    </row>
    <row r="233" spans="1:4" hidden="1" x14ac:dyDescent="0.25">
      <c r="A233" s="52">
        <v>39873</v>
      </c>
      <c r="B233" s="54">
        <v>166557</v>
      </c>
      <c r="C233" s="54">
        <v>1011431</v>
      </c>
      <c r="D233" s="53">
        <f t="shared" si="3"/>
        <v>1177988</v>
      </c>
    </row>
    <row r="234" spans="1:4" hidden="1" x14ac:dyDescent="0.25">
      <c r="A234" s="52">
        <v>39904</v>
      </c>
      <c r="B234" s="54">
        <v>152217</v>
      </c>
      <c r="C234" s="54">
        <v>955084</v>
      </c>
      <c r="D234" s="53">
        <f t="shared" si="3"/>
        <v>1107301</v>
      </c>
    </row>
    <row r="235" spans="1:4" hidden="1" x14ac:dyDescent="0.25">
      <c r="A235" s="52">
        <v>39934</v>
      </c>
      <c r="B235" s="54">
        <v>141092</v>
      </c>
      <c r="C235" s="54">
        <v>910132</v>
      </c>
      <c r="D235" s="53">
        <f t="shared" si="3"/>
        <v>1051224</v>
      </c>
    </row>
    <row r="236" spans="1:4" hidden="1" x14ac:dyDescent="0.25">
      <c r="A236" s="52">
        <v>39965</v>
      </c>
      <c r="B236" s="54">
        <v>134211</v>
      </c>
      <c r="C236" s="54">
        <v>891878</v>
      </c>
      <c r="D236" s="53">
        <f t="shared" si="3"/>
        <v>1026089</v>
      </c>
    </row>
    <row r="237" spans="1:4" hidden="1" x14ac:dyDescent="0.25">
      <c r="A237" s="52">
        <v>39995</v>
      </c>
      <c r="B237" s="54">
        <v>127162</v>
      </c>
      <c r="C237" s="54">
        <v>878603</v>
      </c>
      <c r="D237" s="53">
        <f t="shared" si="3"/>
        <v>1005765</v>
      </c>
    </row>
    <row r="238" spans="1:4" hidden="1" x14ac:dyDescent="0.25">
      <c r="A238" s="52">
        <v>40026</v>
      </c>
      <c r="B238" s="54">
        <v>124172</v>
      </c>
      <c r="C238" s="54">
        <v>878582</v>
      </c>
      <c r="D238" s="53">
        <f t="shared" si="3"/>
        <v>1002754</v>
      </c>
    </row>
    <row r="239" spans="1:4" hidden="1" x14ac:dyDescent="0.25">
      <c r="A239" s="52">
        <v>40057</v>
      </c>
      <c r="B239" s="54">
        <v>121763</v>
      </c>
      <c r="C239" s="54">
        <v>890361</v>
      </c>
      <c r="D239" s="53">
        <f t="shared" si="3"/>
        <v>1012124</v>
      </c>
    </row>
    <row r="240" spans="1:4" hidden="1" x14ac:dyDescent="0.25">
      <c r="A240" s="52">
        <v>40087</v>
      </c>
      <c r="B240" s="54">
        <v>119648</v>
      </c>
      <c r="C240" s="54">
        <v>911079</v>
      </c>
      <c r="D240" s="53">
        <f t="shared" si="3"/>
        <v>1030727</v>
      </c>
    </row>
    <row r="241" spans="1:4" hidden="1" x14ac:dyDescent="0.25">
      <c r="A241" s="52">
        <v>40118</v>
      </c>
      <c r="B241" s="54">
        <v>120058</v>
      </c>
      <c r="C241" s="54">
        <v>934596</v>
      </c>
      <c r="D241" s="53">
        <f t="shared" si="3"/>
        <v>1054654</v>
      </c>
    </row>
    <row r="242" spans="1:4" x14ac:dyDescent="0.25">
      <c r="A242" s="52">
        <v>40148</v>
      </c>
      <c r="B242" s="54">
        <v>121448</v>
      </c>
      <c r="C242" s="54">
        <v>952772</v>
      </c>
      <c r="D242" s="53">
        <f t="shared" si="3"/>
        <v>1074220</v>
      </c>
    </row>
    <row r="243" spans="1:4" hidden="1" x14ac:dyDescent="0.25">
      <c r="A243" s="52">
        <v>40179</v>
      </c>
      <c r="B243" s="54">
        <v>120968</v>
      </c>
      <c r="C243" s="54">
        <v>963517</v>
      </c>
      <c r="D243" s="53">
        <f t="shared" si="3"/>
        <v>1084485</v>
      </c>
    </row>
    <row r="244" spans="1:4" hidden="1" x14ac:dyDescent="0.25">
      <c r="A244" s="52">
        <v>40210</v>
      </c>
      <c r="B244" s="54">
        <v>122809</v>
      </c>
      <c r="C244" s="54">
        <v>992691</v>
      </c>
      <c r="D244" s="53">
        <f t="shared" si="3"/>
        <v>1115500</v>
      </c>
    </row>
    <row r="245" spans="1:4" hidden="1" x14ac:dyDescent="0.25">
      <c r="A245" s="52">
        <v>40238</v>
      </c>
      <c r="B245" s="54">
        <v>126084</v>
      </c>
      <c r="C245" s="54">
        <v>1040946</v>
      </c>
      <c r="D245" s="53">
        <f t="shared" si="3"/>
        <v>1167030</v>
      </c>
    </row>
    <row r="246" spans="1:4" hidden="1" x14ac:dyDescent="0.25">
      <c r="A246" s="52">
        <v>40269</v>
      </c>
      <c r="B246" s="54">
        <v>128861</v>
      </c>
      <c r="C246" s="54">
        <v>1067369</v>
      </c>
      <c r="D246" s="53">
        <f t="shared" si="3"/>
        <v>1196230</v>
      </c>
    </row>
    <row r="247" spans="1:4" hidden="1" x14ac:dyDescent="0.25">
      <c r="A247" s="52">
        <v>40299</v>
      </c>
      <c r="B247" s="54">
        <v>132410</v>
      </c>
      <c r="C247" s="54">
        <v>1099083</v>
      </c>
      <c r="D247" s="53">
        <f t="shared" si="3"/>
        <v>1231493</v>
      </c>
    </row>
    <row r="248" spans="1:4" hidden="1" x14ac:dyDescent="0.25">
      <c r="A248" s="52">
        <v>40330</v>
      </c>
      <c r="B248" s="54">
        <v>134758</v>
      </c>
      <c r="C248" s="54">
        <v>1123861</v>
      </c>
      <c r="D248" s="53">
        <f t="shared" si="3"/>
        <v>1258619</v>
      </c>
    </row>
    <row r="249" spans="1:4" hidden="1" x14ac:dyDescent="0.25">
      <c r="A249" s="52">
        <v>40360</v>
      </c>
      <c r="B249" s="54">
        <v>133803</v>
      </c>
      <c r="C249" s="54">
        <v>1097809</v>
      </c>
      <c r="D249" s="53">
        <f t="shared" si="3"/>
        <v>1231612</v>
      </c>
    </row>
    <row r="250" spans="1:4" hidden="1" x14ac:dyDescent="0.25">
      <c r="A250" s="52">
        <v>40391</v>
      </c>
      <c r="B250" s="54">
        <v>133258</v>
      </c>
      <c r="C250" s="54">
        <v>1083878</v>
      </c>
      <c r="D250" s="53">
        <f t="shared" si="3"/>
        <v>1217136</v>
      </c>
    </row>
    <row r="251" spans="1:4" hidden="1" x14ac:dyDescent="0.25">
      <c r="A251" s="52">
        <v>40422</v>
      </c>
      <c r="B251" s="54">
        <v>133120</v>
      </c>
      <c r="C251" s="54">
        <v>1062787</v>
      </c>
      <c r="D251" s="53">
        <f t="shared" si="3"/>
        <v>1195907</v>
      </c>
    </row>
    <row r="252" spans="1:4" hidden="1" x14ac:dyDescent="0.25">
      <c r="A252" s="52">
        <v>40452</v>
      </c>
      <c r="B252" s="54">
        <v>132063</v>
      </c>
      <c r="C252" s="54">
        <v>1025750</v>
      </c>
      <c r="D252" s="53">
        <f t="shared" si="3"/>
        <v>1157813</v>
      </c>
    </row>
    <row r="253" spans="1:4" hidden="1" x14ac:dyDescent="0.25">
      <c r="A253" s="52">
        <v>40483</v>
      </c>
      <c r="B253" s="54">
        <v>133012</v>
      </c>
      <c r="C253" s="54">
        <v>1003626</v>
      </c>
      <c r="D253" s="53">
        <f t="shared" si="3"/>
        <v>1136638</v>
      </c>
    </row>
    <row r="254" spans="1:4" x14ac:dyDescent="0.25">
      <c r="A254" s="52">
        <v>40513</v>
      </c>
      <c r="B254" s="54">
        <v>132937</v>
      </c>
      <c r="C254" s="54">
        <v>982015</v>
      </c>
      <c r="D254" s="53">
        <f t="shared" si="3"/>
        <v>1114952</v>
      </c>
    </row>
    <row r="255" spans="1:4" hidden="1" x14ac:dyDescent="0.25">
      <c r="A255" s="52">
        <v>40544</v>
      </c>
      <c r="B255" s="54">
        <v>133006</v>
      </c>
      <c r="C255" s="54">
        <v>965519</v>
      </c>
      <c r="D255" s="53">
        <f t="shared" si="3"/>
        <v>1098525</v>
      </c>
    </row>
    <row r="256" spans="1:4" hidden="1" x14ac:dyDescent="0.25">
      <c r="A256" s="52">
        <v>40575</v>
      </c>
      <c r="B256" s="54">
        <v>132759</v>
      </c>
      <c r="C256" s="54">
        <v>940359</v>
      </c>
      <c r="D256" s="53">
        <f t="shared" si="3"/>
        <v>1073118</v>
      </c>
    </row>
    <row r="257" spans="1:4" hidden="1" x14ac:dyDescent="0.25">
      <c r="A257" s="52">
        <v>40603</v>
      </c>
      <c r="B257" s="54">
        <v>131284</v>
      </c>
      <c r="C257" s="54">
        <v>904000</v>
      </c>
      <c r="D257" s="53">
        <f t="shared" si="3"/>
        <v>1035284</v>
      </c>
    </row>
    <row r="258" spans="1:4" hidden="1" x14ac:dyDescent="0.25">
      <c r="A258" s="52">
        <v>40634</v>
      </c>
      <c r="B258" s="54">
        <v>129539</v>
      </c>
      <c r="C258" s="54">
        <v>882168</v>
      </c>
      <c r="D258" s="53">
        <f t="shared" si="3"/>
        <v>1011707</v>
      </c>
    </row>
    <row r="259" spans="1:4" hidden="1" x14ac:dyDescent="0.25">
      <c r="A259" s="52">
        <v>40664</v>
      </c>
      <c r="B259" s="54">
        <v>127811</v>
      </c>
      <c r="C259" s="54">
        <v>858165</v>
      </c>
      <c r="D259" s="53">
        <f t="shared" si="3"/>
        <v>985976</v>
      </c>
    </row>
    <row r="260" spans="1:4" hidden="1" x14ac:dyDescent="0.25">
      <c r="A260" s="52">
        <v>40695</v>
      </c>
      <c r="B260" s="54">
        <v>125996</v>
      </c>
      <c r="C260" s="54">
        <v>820066</v>
      </c>
      <c r="D260" s="53">
        <f t="shared" ref="D260:D323" si="4">SUM(B260:C260)</f>
        <v>946062</v>
      </c>
    </row>
    <row r="261" spans="1:4" hidden="1" x14ac:dyDescent="0.25">
      <c r="A261" s="52">
        <v>40725</v>
      </c>
      <c r="B261" s="54">
        <v>125733</v>
      </c>
      <c r="C261" s="54">
        <v>816811</v>
      </c>
      <c r="D261" s="53">
        <f t="shared" si="4"/>
        <v>942544</v>
      </c>
    </row>
    <row r="262" spans="1:4" hidden="1" x14ac:dyDescent="0.25">
      <c r="A262" s="52">
        <v>40756</v>
      </c>
      <c r="B262" s="54">
        <v>126500</v>
      </c>
      <c r="C262" s="54">
        <v>819456</v>
      </c>
      <c r="D262" s="53">
        <f t="shared" si="4"/>
        <v>945956</v>
      </c>
    </row>
    <row r="263" spans="1:4" hidden="1" x14ac:dyDescent="0.25">
      <c r="A263" s="52">
        <v>40787</v>
      </c>
      <c r="B263" s="54">
        <v>126916</v>
      </c>
      <c r="C263" s="54">
        <v>818746</v>
      </c>
      <c r="D263" s="53">
        <f t="shared" si="4"/>
        <v>945662</v>
      </c>
    </row>
    <row r="264" spans="1:4" hidden="1" x14ac:dyDescent="0.25">
      <c r="A264" s="52">
        <v>40817</v>
      </c>
      <c r="B264" s="54">
        <v>126730</v>
      </c>
      <c r="C264" s="54">
        <v>814657</v>
      </c>
      <c r="D264" s="53">
        <f t="shared" si="4"/>
        <v>941387</v>
      </c>
    </row>
    <row r="265" spans="1:4" hidden="1" x14ac:dyDescent="0.25">
      <c r="A265" s="52">
        <v>40848</v>
      </c>
      <c r="B265" s="54">
        <v>125017</v>
      </c>
      <c r="C265" s="54">
        <v>810537</v>
      </c>
      <c r="D265" s="53">
        <f t="shared" si="4"/>
        <v>935554</v>
      </c>
    </row>
    <row r="266" spans="1:4" x14ac:dyDescent="0.25">
      <c r="A266" s="52">
        <v>40878</v>
      </c>
      <c r="B266" s="54">
        <v>123354</v>
      </c>
      <c r="C266" s="54">
        <v>808052</v>
      </c>
      <c r="D266" s="53">
        <f t="shared" si="4"/>
        <v>931406</v>
      </c>
    </row>
    <row r="267" spans="1:4" hidden="1" x14ac:dyDescent="0.25">
      <c r="A267" s="52">
        <v>40909</v>
      </c>
      <c r="B267" s="54">
        <v>121487</v>
      </c>
      <c r="C267" s="54">
        <v>809379</v>
      </c>
      <c r="D267" s="53">
        <f t="shared" si="4"/>
        <v>930866</v>
      </c>
    </row>
    <row r="268" spans="1:4" hidden="1" x14ac:dyDescent="0.25">
      <c r="A268" s="52">
        <v>40940</v>
      </c>
      <c r="B268" s="54">
        <v>118892</v>
      </c>
      <c r="C268" s="54">
        <v>807988</v>
      </c>
      <c r="D268" s="53">
        <f t="shared" si="4"/>
        <v>926880</v>
      </c>
    </row>
    <row r="269" spans="1:4" hidden="1" x14ac:dyDescent="0.25">
      <c r="A269" s="52">
        <v>40969</v>
      </c>
      <c r="B269" s="54">
        <v>115930</v>
      </c>
      <c r="C269" s="54">
        <v>804018</v>
      </c>
      <c r="D269" s="53">
        <f t="shared" si="4"/>
        <v>919948</v>
      </c>
    </row>
    <row r="270" spans="1:4" hidden="1" x14ac:dyDescent="0.25">
      <c r="A270" s="52">
        <v>41000</v>
      </c>
      <c r="B270" s="54">
        <v>112911</v>
      </c>
      <c r="C270" s="54">
        <v>788463</v>
      </c>
      <c r="D270" s="53">
        <f t="shared" si="4"/>
        <v>901374</v>
      </c>
    </row>
    <row r="271" spans="1:4" hidden="1" x14ac:dyDescent="0.25">
      <c r="A271" s="52">
        <v>41030</v>
      </c>
      <c r="B271" s="54">
        <v>109755</v>
      </c>
      <c r="C271" s="54">
        <v>782036</v>
      </c>
      <c r="D271" s="53">
        <f t="shared" si="4"/>
        <v>891791</v>
      </c>
    </row>
    <row r="272" spans="1:4" hidden="1" x14ac:dyDescent="0.25">
      <c r="A272" s="52">
        <v>41061</v>
      </c>
      <c r="B272" s="54">
        <v>106371</v>
      </c>
      <c r="C272" s="54">
        <v>771910</v>
      </c>
      <c r="D272" s="53">
        <f t="shared" si="4"/>
        <v>878281</v>
      </c>
    </row>
    <row r="273" spans="1:4" hidden="1" x14ac:dyDescent="0.25">
      <c r="A273" s="52">
        <v>41091</v>
      </c>
      <c r="B273" s="54">
        <v>104215</v>
      </c>
      <c r="C273" s="54">
        <v>758321</v>
      </c>
      <c r="D273" s="53">
        <f t="shared" si="4"/>
        <v>862536</v>
      </c>
    </row>
    <row r="274" spans="1:4" hidden="1" x14ac:dyDescent="0.25">
      <c r="A274" s="52">
        <v>41122</v>
      </c>
      <c r="B274" s="54">
        <v>102417</v>
      </c>
      <c r="C274" s="54">
        <v>759918</v>
      </c>
      <c r="D274" s="53">
        <f t="shared" si="4"/>
        <v>862335</v>
      </c>
    </row>
    <row r="275" spans="1:4" hidden="1" x14ac:dyDescent="0.25">
      <c r="A275" s="52">
        <v>41153</v>
      </c>
      <c r="B275" s="54">
        <v>99410</v>
      </c>
      <c r="C275" s="54">
        <v>739492</v>
      </c>
      <c r="D275" s="53">
        <f t="shared" si="4"/>
        <v>838902</v>
      </c>
    </row>
    <row r="276" spans="1:4" hidden="1" x14ac:dyDescent="0.25">
      <c r="A276" s="52">
        <v>41183</v>
      </c>
      <c r="B276" s="54">
        <v>97286</v>
      </c>
      <c r="C276" s="54">
        <v>727087</v>
      </c>
      <c r="D276" s="53">
        <f t="shared" si="4"/>
        <v>824373</v>
      </c>
    </row>
    <row r="277" spans="1:4" hidden="1" x14ac:dyDescent="0.25">
      <c r="A277" s="52">
        <v>41214</v>
      </c>
      <c r="B277" s="54">
        <v>94773</v>
      </c>
      <c r="C277" s="54">
        <v>714847</v>
      </c>
      <c r="D277" s="53">
        <f t="shared" si="4"/>
        <v>809620</v>
      </c>
    </row>
    <row r="278" spans="1:4" x14ac:dyDescent="0.25">
      <c r="A278" s="52">
        <v>41244</v>
      </c>
      <c r="B278" s="54">
        <v>91342</v>
      </c>
      <c r="C278" s="54">
        <v>699587</v>
      </c>
      <c r="D278" s="53">
        <f t="shared" si="4"/>
        <v>790929</v>
      </c>
    </row>
    <row r="279" spans="1:4" hidden="1" x14ac:dyDescent="0.25">
      <c r="A279" s="52">
        <v>41275</v>
      </c>
      <c r="B279" s="54">
        <v>90293</v>
      </c>
      <c r="C279" s="54">
        <v>694301</v>
      </c>
      <c r="D279" s="53">
        <f t="shared" si="4"/>
        <v>784594</v>
      </c>
    </row>
    <row r="280" spans="1:4" hidden="1" x14ac:dyDescent="0.25">
      <c r="A280" s="52">
        <v>41306</v>
      </c>
      <c r="B280" s="54">
        <v>88730</v>
      </c>
      <c r="C280" s="54">
        <v>687943</v>
      </c>
      <c r="D280" s="53">
        <f t="shared" si="4"/>
        <v>776673</v>
      </c>
    </row>
    <row r="281" spans="1:4" hidden="1" x14ac:dyDescent="0.25">
      <c r="A281" s="52">
        <v>41334</v>
      </c>
      <c r="B281" s="54">
        <v>86630</v>
      </c>
      <c r="C281" s="54">
        <v>676194</v>
      </c>
      <c r="D281" s="53">
        <f t="shared" si="4"/>
        <v>762824</v>
      </c>
    </row>
    <row r="282" spans="1:4" hidden="1" x14ac:dyDescent="0.25">
      <c r="A282" s="52">
        <v>41365</v>
      </c>
      <c r="B282" s="54">
        <v>87158</v>
      </c>
      <c r="C282" s="54">
        <v>682261</v>
      </c>
      <c r="D282" s="53">
        <f t="shared" si="4"/>
        <v>769419</v>
      </c>
    </row>
    <row r="283" spans="1:4" hidden="1" x14ac:dyDescent="0.25">
      <c r="A283" s="52">
        <v>41395</v>
      </c>
      <c r="B283" s="54">
        <v>87251</v>
      </c>
      <c r="C283" s="54">
        <v>680363</v>
      </c>
      <c r="D283" s="53">
        <f t="shared" si="4"/>
        <v>767614</v>
      </c>
    </row>
    <row r="284" spans="1:4" hidden="1" x14ac:dyDescent="0.25">
      <c r="A284" s="52">
        <v>41426</v>
      </c>
      <c r="B284" s="54">
        <v>88494</v>
      </c>
      <c r="C284" s="54">
        <v>679875</v>
      </c>
      <c r="D284" s="53">
        <f t="shared" si="4"/>
        <v>768369</v>
      </c>
    </row>
    <row r="285" spans="1:4" hidden="1" x14ac:dyDescent="0.25">
      <c r="A285" s="52">
        <v>41456</v>
      </c>
      <c r="B285" s="54">
        <v>90543</v>
      </c>
      <c r="C285" s="54">
        <v>689577</v>
      </c>
      <c r="D285" s="53">
        <f t="shared" si="4"/>
        <v>780120</v>
      </c>
    </row>
    <row r="286" spans="1:4" hidden="1" x14ac:dyDescent="0.25">
      <c r="A286" s="52">
        <v>41487</v>
      </c>
      <c r="B286" s="54">
        <v>91101</v>
      </c>
      <c r="C286" s="54">
        <v>680629</v>
      </c>
      <c r="D286" s="53">
        <f t="shared" si="4"/>
        <v>771730</v>
      </c>
    </row>
    <row r="287" spans="1:4" hidden="1" x14ac:dyDescent="0.25">
      <c r="A287" s="52">
        <v>41518</v>
      </c>
      <c r="B287" s="54">
        <v>92670</v>
      </c>
      <c r="C287" s="54">
        <v>690658</v>
      </c>
      <c r="D287" s="53">
        <f t="shared" si="4"/>
        <v>783328</v>
      </c>
    </row>
    <row r="288" spans="1:4" hidden="1" x14ac:dyDescent="0.25">
      <c r="A288" s="52">
        <v>41548</v>
      </c>
      <c r="B288" s="54">
        <v>94799</v>
      </c>
      <c r="C288" s="54">
        <v>706089</v>
      </c>
      <c r="D288" s="53">
        <f t="shared" si="4"/>
        <v>800888</v>
      </c>
    </row>
    <row r="289" spans="1:4" hidden="1" x14ac:dyDescent="0.25">
      <c r="A289" s="52">
        <v>41579</v>
      </c>
      <c r="B289" s="54">
        <v>96751</v>
      </c>
      <c r="C289" s="54">
        <v>713384</v>
      </c>
      <c r="D289" s="53">
        <f t="shared" si="4"/>
        <v>810135</v>
      </c>
    </row>
    <row r="290" spans="1:4" x14ac:dyDescent="0.25">
      <c r="A290" s="52">
        <v>41609</v>
      </c>
      <c r="B290" s="54">
        <v>100257</v>
      </c>
      <c r="C290" s="54">
        <v>722700</v>
      </c>
      <c r="D290" s="53">
        <f t="shared" si="4"/>
        <v>822957</v>
      </c>
    </row>
    <row r="291" spans="1:4" hidden="1" x14ac:dyDescent="0.25">
      <c r="A291" s="52">
        <v>41640</v>
      </c>
      <c r="B291" s="54">
        <v>102925</v>
      </c>
      <c r="C291" s="54">
        <v>726461</v>
      </c>
      <c r="D291" s="53">
        <f t="shared" si="4"/>
        <v>829386</v>
      </c>
    </row>
    <row r="292" spans="1:4" hidden="1" x14ac:dyDescent="0.25">
      <c r="A292" s="52">
        <v>41671</v>
      </c>
      <c r="B292" s="54">
        <v>106102</v>
      </c>
      <c r="C292" s="54">
        <v>736852</v>
      </c>
      <c r="D292" s="53">
        <f t="shared" si="4"/>
        <v>842954</v>
      </c>
    </row>
    <row r="293" spans="1:4" hidden="1" x14ac:dyDescent="0.25">
      <c r="A293" s="52">
        <v>41699</v>
      </c>
      <c r="B293" s="54">
        <v>108332</v>
      </c>
      <c r="C293" s="54">
        <v>744102</v>
      </c>
      <c r="D293" s="53">
        <f t="shared" si="4"/>
        <v>852434</v>
      </c>
    </row>
    <row r="294" spans="1:4" hidden="1" x14ac:dyDescent="0.25">
      <c r="A294" s="52">
        <v>41730</v>
      </c>
      <c r="B294" s="54">
        <v>112686</v>
      </c>
      <c r="C294" s="54">
        <v>761959</v>
      </c>
      <c r="D294" s="53">
        <f t="shared" si="4"/>
        <v>874645</v>
      </c>
    </row>
    <row r="295" spans="1:4" hidden="1" x14ac:dyDescent="0.25">
      <c r="A295" s="52">
        <v>41760</v>
      </c>
      <c r="B295" s="54">
        <v>116111</v>
      </c>
      <c r="C295" s="54">
        <v>773896</v>
      </c>
      <c r="D295" s="53">
        <f t="shared" si="4"/>
        <v>890007</v>
      </c>
    </row>
    <row r="296" spans="1:4" hidden="1" x14ac:dyDescent="0.25">
      <c r="A296" s="52">
        <v>41791</v>
      </c>
      <c r="B296" s="54">
        <v>117938</v>
      </c>
      <c r="C296" s="54">
        <v>791284</v>
      </c>
      <c r="D296" s="53">
        <f t="shared" si="4"/>
        <v>909222</v>
      </c>
    </row>
    <row r="297" spans="1:4" hidden="1" x14ac:dyDescent="0.25">
      <c r="A297" s="52">
        <v>41821</v>
      </c>
      <c r="B297" s="54">
        <v>120352</v>
      </c>
      <c r="C297" s="54">
        <v>799622</v>
      </c>
      <c r="D297" s="53">
        <f t="shared" si="4"/>
        <v>919974</v>
      </c>
    </row>
    <row r="298" spans="1:4" hidden="1" x14ac:dyDescent="0.25">
      <c r="A298" s="52">
        <v>41852</v>
      </c>
      <c r="B298" s="54">
        <v>121797</v>
      </c>
      <c r="C298" s="54">
        <v>805105</v>
      </c>
      <c r="D298" s="53">
        <f t="shared" si="4"/>
        <v>926902</v>
      </c>
    </row>
    <row r="299" spans="1:4" hidden="1" x14ac:dyDescent="0.25">
      <c r="A299" s="52">
        <v>41883</v>
      </c>
      <c r="B299" s="54">
        <v>123364</v>
      </c>
      <c r="C299" s="54">
        <v>816940</v>
      </c>
      <c r="D299" s="53">
        <f t="shared" si="4"/>
        <v>940304</v>
      </c>
    </row>
    <row r="300" spans="1:4" hidden="1" x14ac:dyDescent="0.25">
      <c r="A300" s="52">
        <v>41913</v>
      </c>
      <c r="B300" s="54">
        <v>127713</v>
      </c>
      <c r="C300" s="54">
        <v>832709</v>
      </c>
      <c r="D300" s="53">
        <f t="shared" si="4"/>
        <v>960422</v>
      </c>
    </row>
    <row r="301" spans="1:4" hidden="1" x14ac:dyDescent="0.25">
      <c r="A301" s="52">
        <v>41944</v>
      </c>
      <c r="B301" s="54">
        <v>128969</v>
      </c>
      <c r="C301" s="54">
        <v>842381</v>
      </c>
      <c r="D301" s="53">
        <f t="shared" si="4"/>
        <v>971350</v>
      </c>
    </row>
    <row r="302" spans="1:4" x14ac:dyDescent="0.25">
      <c r="A302" s="52">
        <v>41974</v>
      </c>
      <c r="B302" s="54">
        <v>132391</v>
      </c>
      <c r="C302" s="54">
        <v>855308</v>
      </c>
      <c r="D302" s="53">
        <f t="shared" si="4"/>
        <v>987699</v>
      </c>
    </row>
    <row r="303" spans="1:4" hidden="1" x14ac:dyDescent="0.25">
      <c r="A303" s="52">
        <v>42005</v>
      </c>
      <c r="B303" s="54">
        <v>134495</v>
      </c>
      <c r="C303" s="54">
        <v>869991</v>
      </c>
      <c r="D303" s="53">
        <f t="shared" si="4"/>
        <v>1004486</v>
      </c>
    </row>
    <row r="304" spans="1:4" hidden="1" x14ac:dyDescent="0.25">
      <c r="A304" s="52">
        <v>42036</v>
      </c>
      <c r="B304" s="54">
        <v>137335</v>
      </c>
      <c r="C304" s="54">
        <v>887947</v>
      </c>
      <c r="D304" s="53">
        <f t="shared" si="4"/>
        <v>1025282</v>
      </c>
    </row>
    <row r="305" spans="1:4" hidden="1" x14ac:dyDescent="0.25">
      <c r="A305" s="52">
        <v>42064</v>
      </c>
      <c r="B305" s="54">
        <v>144476</v>
      </c>
      <c r="C305" s="54">
        <v>920323</v>
      </c>
      <c r="D305" s="53">
        <f t="shared" si="4"/>
        <v>1064799</v>
      </c>
    </row>
    <row r="306" spans="1:4" hidden="1" x14ac:dyDescent="0.25">
      <c r="A306" s="52">
        <v>42095</v>
      </c>
      <c r="B306" s="54">
        <v>146758</v>
      </c>
      <c r="C306" s="54">
        <v>922865</v>
      </c>
      <c r="D306" s="53">
        <f t="shared" si="4"/>
        <v>1069623</v>
      </c>
    </row>
    <row r="307" spans="1:4" hidden="1" x14ac:dyDescent="0.25">
      <c r="A307" s="52">
        <v>42125</v>
      </c>
      <c r="B307" s="54">
        <v>150259</v>
      </c>
      <c r="C307" s="54">
        <v>934413</v>
      </c>
      <c r="D307" s="53">
        <f t="shared" si="4"/>
        <v>1084672</v>
      </c>
    </row>
    <row r="308" spans="1:4" hidden="1" x14ac:dyDescent="0.25">
      <c r="A308" s="52">
        <v>42156</v>
      </c>
      <c r="B308" s="54">
        <v>155622</v>
      </c>
      <c r="C308" s="54">
        <v>955587</v>
      </c>
      <c r="D308" s="53">
        <f t="shared" si="4"/>
        <v>1111209</v>
      </c>
    </row>
    <row r="309" spans="1:4" hidden="1" x14ac:dyDescent="0.25">
      <c r="A309" s="52">
        <v>42186</v>
      </c>
      <c r="B309" s="54">
        <v>159900</v>
      </c>
      <c r="C309" s="54">
        <v>975144</v>
      </c>
      <c r="D309" s="53">
        <f t="shared" si="4"/>
        <v>1135044</v>
      </c>
    </row>
    <row r="310" spans="1:4" hidden="1" x14ac:dyDescent="0.25">
      <c r="A310" s="52">
        <v>42217</v>
      </c>
      <c r="B310" s="54">
        <v>162561</v>
      </c>
      <c r="C310" s="54">
        <v>985707</v>
      </c>
      <c r="D310" s="53">
        <f t="shared" si="4"/>
        <v>1148268</v>
      </c>
    </row>
    <row r="311" spans="1:4" hidden="1" x14ac:dyDescent="0.25">
      <c r="A311" s="52">
        <v>42248</v>
      </c>
      <c r="B311" s="54">
        <v>167522</v>
      </c>
      <c r="C311" s="54">
        <v>998549</v>
      </c>
      <c r="D311" s="53">
        <f t="shared" si="4"/>
        <v>1166071</v>
      </c>
    </row>
    <row r="312" spans="1:4" hidden="1" x14ac:dyDescent="0.25">
      <c r="A312" s="52">
        <v>42278</v>
      </c>
      <c r="B312" s="54">
        <v>170819</v>
      </c>
      <c r="C312" s="54">
        <v>1002531</v>
      </c>
      <c r="D312" s="53">
        <f t="shared" si="4"/>
        <v>1173350</v>
      </c>
    </row>
    <row r="313" spans="1:4" hidden="1" x14ac:dyDescent="0.25">
      <c r="A313" s="52">
        <v>42309</v>
      </c>
      <c r="B313" s="54">
        <v>176409</v>
      </c>
      <c r="C313" s="54">
        <v>1019059</v>
      </c>
      <c r="D313" s="53">
        <f t="shared" si="4"/>
        <v>1195468</v>
      </c>
    </row>
    <row r="314" spans="1:4" x14ac:dyDescent="0.25">
      <c r="A314" s="52">
        <v>42339</v>
      </c>
      <c r="B314" s="54">
        <v>179521</v>
      </c>
      <c r="C314" s="54">
        <v>1034228</v>
      </c>
      <c r="D314" s="53">
        <f t="shared" si="4"/>
        <v>1213749</v>
      </c>
    </row>
    <row r="315" spans="1:4" hidden="1" x14ac:dyDescent="0.25">
      <c r="A315" s="52">
        <v>42370</v>
      </c>
      <c r="B315" s="54">
        <v>181888</v>
      </c>
      <c r="C315" s="54">
        <v>1042443</v>
      </c>
      <c r="D315" s="53">
        <f t="shared" si="4"/>
        <v>1224331</v>
      </c>
    </row>
    <row r="316" spans="1:4" hidden="1" x14ac:dyDescent="0.25">
      <c r="A316" s="52">
        <v>42401</v>
      </c>
      <c r="B316" s="54">
        <v>184085</v>
      </c>
      <c r="C316" s="54">
        <v>1053373</v>
      </c>
      <c r="D316" s="53">
        <f t="shared" si="4"/>
        <v>1237458</v>
      </c>
    </row>
    <row r="317" spans="1:4" hidden="1" x14ac:dyDescent="0.25">
      <c r="A317" s="52">
        <v>42430</v>
      </c>
      <c r="B317" s="54">
        <v>183984</v>
      </c>
      <c r="C317" s="54">
        <v>1052580</v>
      </c>
      <c r="D317" s="53">
        <f t="shared" si="4"/>
        <v>1236564</v>
      </c>
    </row>
    <row r="318" spans="1:4" hidden="1" x14ac:dyDescent="0.25">
      <c r="A318" s="52">
        <v>42461</v>
      </c>
      <c r="B318" s="54">
        <v>186838</v>
      </c>
      <c r="C318" s="54">
        <v>1070143</v>
      </c>
      <c r="D318" s="53">
        <f t="shared" si="4"/>
        <v>1256981</v>
      </c>
    </row>
    <row r="319" spans="1:4" hidden="1" x14ac:dyDescent="0.25">
      <c r="A319" s="52">
        <v>42491</v>
      </c>
      <c r="B319" s="54">
        <v>189453</v>
      </c>
      <c r="C319" s="54">
        <v>1089783</v>
      </c>
      <c r="D319" s="53">
        <f t="shared" si="4"/>
        <v>1279236</v>
      </c>
    </row>
    <row r="320" spans="1:4" hidden="1" x14ac:dyDescent="0.25">
      <c r="A320" s="52">
        <v>42522</v>
      </c>
      <c r="B320" s="54">
        <v>192299</v>
      </c>
      <c r="C320" s="54">
        <v>1102240</v>
      </c>
      <c r="D320" s="53">
        <f t="shared" si="4"/>
        <v>1294539</v>
      </c>
    </row>
    <row r="321" spans="1:4" hidden="1" x14ac:dyDescent="0.25">
      <c r="A321" s="52">
        <v>42552</v>
      </c>
      <c r="B321" s="54">
        <v>192856</v>
      </c>
      <c r="C321" s="54">
        <v>1106624</v>
      </c>
      <c r="D321" s="53">
        <f t="shared" si="4"/>
        <v>1299480</v>
      </c>
    </row>
    <row r="322" spans="1:4" hidden="1" x14ac:dyDescent="0.25">
      <c r="A322" s="52">
        <v>42583</v>
      </c>
      <c r="B322" s="54">
        <v>194818</v>
      </c>
      <c r="C322" s="54">
        <v>1114795</v>
      </c>
      <c r="D322" s="53">
        <f t="shared" si="4"/>
        <v>1309613</v>
      </c>
    </row>
    <row r="323" spans="1:4" hidden="1" x14ac:dyDescent="0.25">
      <c r="A323" s="52">
        <v>42614</v>
      </c>
      <c r="B323" s="54">
        <v>196836</v>
      </c>
      <c r="C323" s="54">
        <v>1124534</v>
      </c>
      <c r="D323" s="53">
        <f t="shared" si="4"/>
        <v>1321370</v>
      </c>
    </row>
    <row r="324" spans="1:4" hidden="1" x14ac:dyDescent="0.25">
      <c r="A324" s="52">
        <v>42644</v>
      </c>
      <c r="B324" s="54">
        <v>195806</v>
      </c>
      <c r="C324" s="54">
        <v>1127727</v>
      </c>
      <c r="D324" s="53">
        <f t="shared" ref="D324:D387" si="5">SUM(B324:C324)</f>
        <v>1323533</v>
      </c>
    </row>
    <row r="325" spans="1:4" hidden="1" x14ac:dyDescent="0.25">
      <c r="A325" s="52">
        <v>42675</v>
      </c>
      <c r="B325" s="54">
        <v>198124</v>
      </c>
      <c r="C325" s="54">
        <v>1138730</v>
      </c>
      <c r="D325" s="53">
        <f t="shared" si="5"/>
        <v>1336854</v>
      </c>
    </row>
    <row r="326" spans="1:4" x14ac:dyDescent="0.25">
      <c r="A326" s="52">
        <v>42705</v>
      </c>
      <c r="B326" s="54">
        <v>200337</v>
      </c>
      <c r="C326" s="54">
        <v>1147009</v>
      </c>
      <c r="D326" s="53">
        <f t="shared" si="5"/>
        <v>1347346</v>
      </c>
    </row>
    <row r="327" spans="1:4" hidden="1" x14ac:dyDescent="0.25">
      <c r="A327" s="52">
        <v>42736</v>
      </c>
      <c r="B327" s="54">
        <v>203455</v>
      </c>
      <c r="C327" s="54">
        <v>1155190</v>
      </c>
      <c r="D327" s="53">
        <f t="shared" si="5"/>
        <v>1358645</v>
      </c>
    </row>
    <row r="328" spans="1:4" hidden="1" x14ac:dyDescent="0.25">
      <c r="A328" s="52">
        <v>42767</v>
      </c>
      <c r="B328" s="54">
        <v>205328</v>
      </c>
      <c r="C328" s="54">
        <v>1155337</v>
      </c>
      <c r="D328" s="53">
        <f t="shared" si="5"/>
        <v>1360665</v>
      </c>
    </row>
    <row r="329" spans="1:4" hidden="1" x14ac:dyDescent="0.25">
      <c r="A329" s="52">
        <v>42795</v>
      </c>
      <c r="B329" s="54">
        <v>209602</v>
      </c>
      <c r="C329" s="54">
        <v>1169426</v>
      </c>
      <c r="D329" s="53">
        <f t="shared" si="5"/>
        <v>1379028</v>
      </c>
    </row>
    <row r="330" spans="1:4" hidden="1" x14ac:dyDescent="0.25">
      <c r="A330" s="52">
        <v>42826</v>
      </c>
      <c r="B330" s="54">
        <v>209420</v>
      </c>
      <c r="C330" s="54">
        <v>1170522</v>
      </c>
      <c r="D330" s="53">
        <f t="shared" si="5"/>
        <v>1379942</v>
      </c>
    </row>
    <row r="331" spans="1:4" hidden="1" x14ac:dyDescent="0.25">
      <c r="A331" s="52">
        <v>42856</v>
      </c>
      <c r="B331" s="54">
        <v>212852</v>
      </c>
      <c r="C331" s="54">
        <v>1183262</v>
      </c>
      <c r="D331" s="53">
        <f t="shared" si="5"/>
        <v>1396114</v>
      </c>
    </row>
    <row r="332" spans="1:4" hidden="1" x14ac:dyDescent="0.25">
      <c r="A332" s="52">
        <v>42887</v>
      </c>
      <c r="B332" s="54">
        <v>214592</v>
      </c>
      <c r="C332" s="54">
        <v>1191269</v>
      </c>
      <c r="D332" s="53">
        <f t="shared" si="5"/>
        <v>1405861</v>
      </c>
    </row>
    <row r="333" spans="1:4" hidden="1" x14ac:dyDescent="0.25">
      <c r="A333" s="52">
        <v>42917</v>
      </c>
      <c r="B333" s="54">
        <v>217643</v>
      </c>
      <c r="C333" s="54">
        <v>1193910</v>
      </c>
      <c r="D333" s="53">
        <f t="shared" si="5"/>
        <v>1411553</v>
      </c>
    </row>
    <row r="334" spans="1:4" hidden="1" x14ac:dyDescent="0.25">
      <c r="A334" s="52">
        <v>42948</v>
      </c>
      <c r="B334" s="54">
        <v>220109</v>
      </c>
      <c r="C334" s="54">
        <v>1202231</v>
      </c>
      <c r="D334" s="53">
        <f t="shared" si="5"/>
        <v>1422340</v>
      </c>
    </row>
    <row r="335" spans="1:4" hidden="1" x14ac:dyDescent="0.25">
      <c r="A335" s="52">
        <v>42979</v>
      </c>
      <c r="B335" s="54">
        <v>221387</v>
      </c>
      <c r="C335" s="54">
        <v>1205931</v>
      </c>
      <c r="D335" s="53">
        <f t="shared" si="5"/>
        <v>1427318</v>
      </c>
    </row>
    <row r="336" spans="1:4" hidden="1" x14ac:dyDescent="0.25">
      <c r="A336" s="52">
        <v>43009</v>
      </c>
      <c r="B336" s="54">
        <v>224950</v>
      </c>
      <c r="C336" s="54">
        <v>1217359</v>
      </c>
      <c r="D336" s="53">
        <f t="shared" si="5"/>
        <v>1442309</v>
      </c>
    </row>
    <row r="337" spans="1:4" hidden="1" x14ac:dyDescent="0.25">
      <c r="A337" s="52">
        <v>43040</v>
      </c>
      <c r="B337" s="54">
        <v>227797</v>
      </c>
      <c r="C337" s="54">
        <v>1228876</v>
      </c>
      <c r="D337" s="53">
        <f t="shared" si="5"/>
        <v>1456673</v>
      </c>
    </row>
    <row r="338" spans="1:4" x14ac:dyDescent="0.25">
      <c r="A338" s="52">
        <v>43070</v>
      </c>
      <c r="B338" s="54">
        <v>227301</v>
      </c>
      <c r="C338" s="54">
        <v>1234932</v>
      </c>
      <c r="D338" s="53">
        <f t="shared" si="5"/>
        <v>1462233</v>
      </c>
    </row>
    <row r="339" spans="1:4" hidden="1" x14ac:dyDescent="0.25">
      <c r="A339" s="52">
        <v>43101</v>
      </c>
      <c r="B339" s="54">
        <v>229765</v>
      </c>
      <c r="C339" s="54">
        <v>1252078</v>
      </c>
      <c r="D339" s="53">
        <f t="shared" si="5"/>
        <v>1481843</v>
      </c>
    </row>
    <row r="340" spans="1:4" hidden="1" x14ac:dyDescent="0.25">
      <c r="A340" s="52">
        <v>43132</v>
      </c>
      <c r="B340" s="54">
        <v>232734</v>
      </c>
      <c r="C340" s="54">
        <v>1264757</v>
      </c>
      <c r="D340" s="53">
        <f t="shared" si="5"/>
        <v>1497491</v>
      </c>
    </row>
    <row r="341" spans="1:4" hidden="1" x14ac:dyDescent="0.25">
      <c r="A341" s="52">
        <v>43160</v>
      </c>
      <c r="B341" s="54">
        <v>232329</v>
      </c>
      <c r="C341" s="54">
        <v>1267337</v>
      </c>
      <c r="D341" s="53">
        <f t="shared" si="5"/>
        <v>1499666</v>
      </c>
    </row>
    <row r="342" spans="1:4" hidden="1" x14ac:dyDescent="0.25">
      <c r="A342" s="52">
        <v>43191</v>
      </c>
      <c r="B342" s="54">
        <v>236129</v>
      </c>
      <c r="C342" s="54">
        <v>1282395</v>
      </c>
      <c r="D342" s="53">
        <f t="shared" si="5"/>
        <v>1518524</v>
      </c>
    </row>
    <row r="343" spans="1:4" hidden="1" x14ac:dyDescent="0.25">
      <c r="A343" s="52">
        <v>43221</v>
      </c>
      <c r="B343" s="54">
        <v>237906</v>
      </c>
      <c r="C343" s="54">
        <v>1291509</v>
      </c>
      <c r="D343" s="53">
        <f t="shared" si="5"/>
        <v>1529415</v>
      </c>
    </row>
    <row r="344" spans="1:4" hidden="1" x14ac:dyDescent="0.25">
      <c r="A344" s="52">
        <v>43252</v>
      </c>
      <c r="B344" s="54">
        <v>239840</v>
      </c>
      <c r="C344" s="54">
        <v>1302109</v>
      </c>
      <c r="D344" s="53">
        <f t="shared" si="5"/>
        <v>1541949</v>
      </c>
    </row>
    <row r="345" spans="1:4" hidden="1" x14ac:dyDescent="0.25">
      <c r="A345" s="52">
        <v>43282</v>
      </c>
      <c r="B345" s="54">
        <v>240851</v>
      </c>
      <c r="C345" s="54">
        <v>1323344</v>
      </c>
      <c r="D345" s="53">
        <f t="shared" si="5"/>
        <v>1564195</v>
      </c>
    </row>
    <row r="346" spans="1:4" hidden="1" x14ac:dyDescent="0.25">
      <c r="A346" s="52">
        <v>43313</v>
      </c>
      <c r="B346" s="54">
        <v>243480</v>
      </c>
      <c r="C346" s="54">
        <v>1358626</v>
      </c>
      <c r="D346" s="53">
        <f t="shared" si="5"/>
        <v>1602106</v>
      </c>
    </row>
    <row r="347" spans="1:4" hidden="1" x14ac:dyDescent="0.25">
      <c r="A347" s="52">
        <v>43344</v>
      </c>
      <c r="B347" s="54">
        <v>241798</v>
      </c>
      <c r="C347" s="54">
        <v>1344463</v>
      </c>
      <c r="D347" s="53">
        <f t="shared" si="5"/>
        <v>1586261</v>
      </c>
    </row>
    <row r="348" spans="1:4" hidden="1" x14ac:dyDescent="0.25">
      <c r="A348" s="52">
        <v>43374</v>
      </c>
      <c r="B348" s="54">
        <v>242146</v>
      </c>
      <c r="C348" s="54">
        <v>1338198</v>
      </c>
      <c r="D348" s="53">
        <f t="shared" si="5"/>
        <v>1580344</v>
      </c>
    </row>
    <row r="349" spans="1:4" hidden="1" x14ac:dyDescent="0.25">
      <c r="A349" s="52">
        <v>43405</v>
      </c>
      <c r="B349" s="54">
        <v>240884</v>
      </c>
      <c r="C349" s="54">
        <v>1325091</v>
      </c>
      <c r="D349" s="53">
        <f t="shared" si="5"/>
        <v>1565975</v>
      </c>
    </row>
    <row r="350" spans="1:4" x14ac:dyDescent="0.25">
      <c r="A350" s="52">
        <v>43435</v>
      </c>
      <c r="B350" s="54">
        <v>242116</v>
      </c>
      <c r="C350" s="54">
        <v>1321437</v>
      </c>
      <c r="D350" s="53">
        <f t="shared" si="5"/>
        <v>1563553</v>
      </c>
    </row>
    <row r="351" spans="1:4" hidden="1" x14ac:dyDescent="0.25">
      <c r="A351" s="52">
        <v>43466</v>
      </c>
      <c r="B351" s="54">
        <v>243674</v>
      </c>
      <c r="C351" s="54">
        <v>1313314</v>
      </c>
      <c r="D351" s="53">
        <f t="shared" si="5"/>
        <v>1556988</v>
      </c>
    </row>
    <row r="352" spans="1:4" hidden="1" x14ac:dyDescent="0.25">
      <c r="A352" s="52">
        <v>43497</v>
      </c>
      <c r="B352" s="54">
        <v>242937</v>
      </c>
      <c r="C352" s="54">
        <v>1303532</v>
      </c>
      <c r="D352" s="53">
        <f t="shared" si="5"/>
        <v>1546469</v>
      </c>
    </row>
    <row r="353" spans="1:4" hidden="1" x14ac:dyDescent="0.25">
      <c r="A353" s="52">
        <v>43525</v>
      </c>
      <c r="B353" s="54">
        <v>244004</v>
      </c>
      <c r="C353" s="54">
        <v>1298011</v>
      </c>
      <c r="D353" s="53">
        <f t="shared" si="5"/>
        <v>1542015</v>
      </c>
    </row>
    <row r="354" spans="1:4" hidden="1" x14ac:dyDescent="0.25">
      <c r="A354" s="52">
        <v>43556</v>
      </c>
      <c r="B354" s="54">
        <v>245239</v>
      </c>
      <c r="C354" s="54">
        <v>1300995</v>
      </c>
      <c r="D354" s="53">
        <f t="shared" si="5"/>
        <v>1546234</v>
      </c>
    </row>
    <row r="355" spans="1:4" hidden="1" x14ac:dyDescent="0.25">
      <c r="A355" s="52">
        <v>43586</v>
      </c>
      <c r="B355" s="54">
        <v>245572</v>
      </c>
      <c r="C355" s="54">
        <v>1291093</v>
      </c>
      <c r="D355" s="53">
        <f t="shared" si="5"/>
        <v>1536665</v>
      </c>
    </row>
    <row r="356" spans="1:4" hidden="1" x14ac:dyDescent="0.25">
      <c r="A356" s="52">
        <v>43617</v>
      </c>
      <c r="B356" s="54">
        <v>245563</v>
      </c>
      <c r="C356" s="54">
        <v>1279209</v>
      </c>
      <c r="D356" s="53">
        <f t="shared" si="5"/>
        <v>1524772</v>
      </c>
    </row>
    <row r="357" spans="1:4" hidden="1" x14ac:dyDescent="0.25">
      <c r="A357" s="52">
        <v>43647</v>
      </c>
      <c r="B357" s="54">
        <v>245984</v>
      </c>
      <c r="C357" s="54">
        <v>1264700</v>
      </c>
      <c r="D357" s="53">
        <f t="shared" si="5"/>
        <v>1510684</v>
      </c>
    </row>
    <row r="358" spans="1:4" hidden="1" x14ac:dyDescent="0.25">
      <c r="A358" s="52">
        <v>43678</v>
      </c>
      <c r="B358" s="54">
        <v>245545</v>
      </c>
      <c r="C358" s="54">
        <v>1231432</v>
      </c>
      <c r="D358" s="53">
        <f t="shared" si="5"/>
        <v>1476977</v>
      </c>
    </row>
    <row r="359" spans="1:4" hidden="1" x14ac:dyDescent="0.25">
      <c r="A359" s="52">
        <v>43709</v>
      </c>
      <c r="B359" s="54">
        <v>244899</v>
      </c>
      <c r="C359" s="54">
        <v>1244050</v>
      </c>
      <c r="D359" s="53">
        <f t="shared" si="5"/>
        <v>1488949</v>
      </c>
    </row>
    <row r="360" spans="1:4" hidden="1" x14ac:dyDescent="0.25">
      <c r="A360" s="52">
        <v>43739</v>
      </c>
      <c r="B360" s="54">
        <v>245078</v>
      </c>
      <c r="C360" s="54">
        <v>1249593</v>
      </c>
      <c r="D360" s="53">
        <f t="shared" si="5"/>
        <v>1494671</v>
      </c>
    </row>
    <row r="361" spans="1:4" hidden="1" x14ac:dyDescent="0.25">
      <c r="A361" s="52">
        <v>43770</v>
      </c>
      <c r="B361" s="54">
        <v>244580</v>
      </c>
      <c r="C361" s="54">
        <v>1251685</v>
      </c>
      <c r="D361" s="53">
        <f t="shared" si="5"/>
        <v>1496265</v>
      </c>
    </row>
    <row r="362" spans="1:4" x14ac:dyDescent="0.25">
      <c r="A362" s="52">
        <v>43800</v>
      </c>
      <c r="B362" s="54">
        <v>242953</v>
      </c>
      <c r="C362" s="54">
        <v>1258249</v>
      </c>
      <c r="D362" s="53">
        <f t="shared" si="5"/>
        <v>1501202</v>
      </c>
    </row>
    <row r="363" spans="1:4" hidden="1" x14ac:dyDescent="0.25">
      <c r="A363" s="52">
        <v>43831</v>
      </c>
      <c r="B363" s="54">
        <v>239052</v>
      </c>
      <c r="C363" s="54">
        <v>1251153</v>
      </c>
      <c r="D363" s="53">
        <f t="shared" si="5"/>
        <v>1490205</v>
      </c>
    </row>
    <row r="364" spans="1:4" hidden="1" x14ac:dyDescent="0.25">
      <c r="A364" s="52">
        <v>43862</v>
      </c>
      <c r="B364" s="54">
        <v>237947</v>
      </c>
      <c r="C364" s="54">
        <v>1245078</v>
      </c>
      <c r="D364" s="53">
        <f t="shared" si="5"/>
        <v>1483025</v>
      </c>
    </row>
    <row r="365" spans="1:4" hidden="1" x14ac:dyDescent="0.25">
      <c r="A365" s="52">
        <v>43891</v>
      </c>
      <c r="B365" s="54">
        <v>223438</v>
      </c>
      <c r="C365" s="54">
        <v>1160062</v>
      </c>
      <c r="D365" s="53">
        <f t="shared" si="5"/>
        <v>1383500</v>
      </c>
    </row>
    <row r="366" spans="1:4" hidden="1" x14ac:dyDescent="0.25">
      <c r="A366" s="52">
        <v>43922</v>
      </c>
      <c r="B366" s="54">
        <v>203853</v>
      </c>
      <c r="C366" s="54">
        <v>1044808</v>
      </c>
      <c r="D366" s="53">
        <f t="shared" si="5"/>
        <v>1248661</v>
      </c>
    </row>
    <row r="367" spans="1:4" hidden="1" x14ac:dyDescent="0.25">
      <c r="A367" s="52">
        <v>43952</v>
      </c>
      <c r="B367" s="54">
        <v>190130</v>
      </c>
      <c r="C367" s="54">
        <v>953523</v>
      </c>
      <c r="D367" s="53">
        <f t="shared" si="5"/>
        <v>1143653</v>
      </c>
    </row>
    <row r="368" spans="1:4" hidden="1" x14ac:dyDescent="0.25">
      <c r="A368" s="52">
        <v>43983</v>
      </c>
      <c r="B368" s="54">
        <v>184470</v>
      </c>
      <c r="C368" s="54">
        <v>905661</v>
      </c>
      <c r="D368" s="53">
        <f t="shared" si="5"/>
        <v>1090131</v>
      </c>
    </row>
    <row r="369" spans="1:4" hidden="1" x14ac:dyDescent="0.25">
      <c r="A369" s="52">
        <v>44013</v>
      </c>
      <c r="B369" s="54">
        <v>185087</v>
      </c>
      <c r="C369" s="54">
        <v>906918</v>
      </c>
      <c r="D369" s="53">
        <f t="shared" si="5"/>
        <v>1092005</v>
      </c>
    </row>
    <row r="370" spans="1:4" hidden="1" x14ac:dyDescent="0.25">
      <c r="A370" s="52">
        <v>44044</v>
      </c>
      <c r="B370" s="54">
        <v>181254</v>
      </c>
      <c r="C370" s="54">
        <v>899417</v>
      </c>
      <c r="D370" s="53">
        <f t="shared" si="5"/>
        <v>1080671</v>
      </c>
    </row>
    <row r="371" spans="1:4" hidden="1" x14ac:dyDescent="0.25">
      <c r="A371" s="52">
        <v>44075</v>
      </c>
      <c r="B371" s="54">
        <v>182259</v>
      </c>
      <c r="C371" s="54">
        <v>888399</v>
      </c>
      <c r="D371" s="53">
        <f t="shared" si="5"/>
        <v>1070658</v>
      </c>
    </row>
    <row r="372" spans="1:4" hidden="1" x14ac:dyDescent="0.25">
      <c r="A372" s="52">
        <v>44105</v>
      </c>
      <c r="B372" s="54">
        <v>180496</v>
      </c>
      <c r="C372" s="54">
        <v>868673</v>
      </c>
      <c r="D372" s="53">
        <f t="shared" si="5"/>
        <v>1049169</v>
      </c>
    </row>
    <row r="373" spans="1:4" hidden="1" x14ac:dyDescent="0.25">
      <c r="A373" s="52">
        <v>44136</v>
      </c>
      <c r="B373" s="54">
        <v>179114</v>
      </c>
      <c r="C373" s="54">
        <v>851224</v>
      </c>
      <c r="D373" s="53">
        <f t="shared" si="5"/>
        <v>1030338</v>
      </c>
    </row>
    <row r="374" spans="1:4" x14ac:dyDescent="0.25">
      <c r="A374" s="52">
        <v>44166</v>
      </c>
      <c r="B374" s="54">
        <v>179529</v>
      </c>
      <c r="C374" s="54">
        <v>851210</v>
      </c>
      <c r="D374" s="53">
        <f t="shared" si="5"/>
        <v>1030739</v>
      </c>
    </row>
    <row r="375" spans="1:4" hidden="1" x14ac:dyDescent="0.25">
      <c r="A375" s="52">
        <v>44197</v>
      </c>
      <c r="B375" s="54">
        <v>174749</v>
      </c>
      <c r="C375" s="54">
        <v>806734</v>
      </c>
      <c r="D375" s="53">
        <f t="shared" si="5"/>
        <v>981483</v>
      </c>
    </row>
    <row r="376" spans="1:4" hidden="1" x14ac:dyDescent="0.25">
      <c r="A376" s="52">
        <v>44228</v>
      </c>
      <c r="B376" s="54">
        <v>172039</v>
      </c>
      <c r="C376" s="54">
        <v>770393</v>
      </c>
      <c r="D376" s="53">
        <f t="shared" si="5"/>
        <v>942432</v>
      </c>
    </row>
    <row r="377" spans="1:4" hidden="1" x14ac:dyDescent="0.25">
      <c r="A377" s="52">
        <v>44256</v>
      </c>
      <c r="B377" s="54">
        <v>184215</v>
      </c>
      <c r="C377" s="54">
        <v>818567</v>
      </c>
      <c r="D377" s="53">
        <f t="shared" si="5"/>
        <v>1002782</v>
      </c>
    </row>
    <row r="378" spans="1:4" hidden="1" x14ac:dyDescent="0.25">
      <c r="A378" s="52">
        <v>44287</v>
      </c>
      <c r="B378" s="54">
        <v>199139</v>
      </c>
      <c r="C378" s="54">
        <v>892998</v>
      </c>
      <c r="D378" s="53">
        <f t="shared" si="5"/>
        <v>1092137</v>
      </c>
    </row>
    <row r="379" spans="1:4" hidden="1" x14ac:dyDescent="0.25">
      <c r="A379" s="52">
        <v>44317</v>
      </c>
      <c r="B379" s="54">
        <v>207727</v>
      </c>
      <c r="C379" s="54">
        <v>954059</v>
      </c>
      <c r="D379" s="53">
        <f t="shared" si="5"/>
        <v>1161786</v>
      </c>
    </row>
    <row r="380" spans="1:4" hidden="1" x14ac:dyDescent="0.25">
      <c r="A380" s="52">
        <v>44348</v>
      </c>
      <c r="B380" s="54">
        <v>207180</v>
      </c>
      <c r="C380" s="54">
        <v>968192</v>
      </c>
      <c r="D380" s="53">
        <f t="shared" si="5"/>
        <v>1175372</v>
      </c>
    </row>
    <row r="381" spans="1:4" hidden="1" x14ac:dyDescent="0.25">
      <c r="A381" s="52">
        <v>44378</v>
      </c>
      <c r="B381" s="54">
        <v>200134</v>
      </c>
      <c r="C381" s="54">
        <v>934160</v>
      </c>
      <c r="D381" s="53">
        <f t="shared" si="5"/>
        <v>1134294</v>
      </c>
    </row>
    <row r="382" spans="1:4" hidden="1" x14ac:dyDescent="0.25">
      <c r="A382" s="52">
        <v>44409</v>
      </c>
      <c r="B382" s="54">
        <v>196657</v>
      </c>
      <c r="C382" s="54">
        <v>914820</v>
      </c>
      <c r="D382" s="53">
        <f t="shared" si="5"/>
        <v>1111477</v>
      </c>
    </row>
    <row r="383" spans="1:4" hidden="1" x14ac:dyDescent="0.25">
      <c r="A383" s="52">
        <v>44440</v>
      </c>
      <c r="B383" s="54">
        <v>192323</v>
      </c>
      <c r="C383" s="54">
        <v>903733</v>
      </c>
      <c r="D383" s="53">
        <f t="shared" si="5"/>
        <v>1096056</v>
      </c>
    </row>
    <row r="384" spans="1:4" hidden="1" x14ac:dyDescent="0.25">
      <c r="A384" s="52">
        <v>44470</v>
      </c>
      <c r="B384" s="54">
        <v>186005</v>
      </c>
      <c r="C384" s="54">
        <v>888548</v>
      </c>
      <c r="D384" s="53">
        <f t="shared" si="5"/>
        <v>1074553</v>
      </c>
    </row>
    <row r="385" spans="1:4" hidden="1" x14ac:dyDescent="0.25">
      <c r="A385" s="52">
        <v>44501</v>
      </c>
      <c r="B385" s="54">
        <v>180437</v>
      </c>
      <c r="C385" s="54">
        <v>879241</v>
      </c>
      <c r="D385" s="53">
        <f t="shared" si="5"/>
        <v>1059678</v>
      </c>
    </row>
    <row r="386" spans="1:4" x14ac:dyDescent="0.25">
      <c r="A386" s="52">
        <v>44531</v>
      </c>
      <c r="B386" s="54">
        <v>174578</v>
      </c>
      <c r="C386" s="54">
        <v>859482</v>
      </c>
      <c r="D386" s="53">
        <f t="shared" si="5"/>
        <v>1034060</v>
      </c>
    </row>
    <row r="387" spans="1:4" hidden="1" x14ac:dyDescent="0.25">
      <c r="A387" s="52">
        <v>44562</v>
      </c>
      <c r="B387" s="54">
        <v>172260</v>
      </c>
      <c r="C387" s="54">
        <v>859893</v>
      </c>
      <c r="D387" s="53">
        <f t="shared" si="5"/>
        <v>1032153</v>
      </c>
    </row>
    <row r="388" spans="1:4" hidden="1" x14ac:dyDescent="0.25">
      <c r="A388" s="52">
        <v>44593</v>
      </c>
      <c r="B388" s="54">
        <v>168766</v>
      </c>
      <c r="C388" s="54">
        <v>863719</v>
      </c>
      <c r="D388" s="53">
        <f t="shared" ref="D388:D396" si="6">SUM(B388:C388)</f>
        <v>1032485</v>
      </c>
    </row>
    <row r="389" spans="1:4" hidden="1" x14ac:dyDescent="0.25">
      <c r="A389" s="52">
        <v>44621</v>
      </c>
      <c r="B389" s="54">
        <v>160445</v>
      </c>
      <c r="C389" s="54">
        <v>837822</v>
      </c>
      <c r="D389" s="53">
        <f t="shared" si="6"/>
        <v>998267</v>
      </c>
    </row>
    <row r="390" spans="1:4" hidden="1" x14ac:dyDescent="0.25">
      <c r="A390" s="52">
        <v>44652</v>
      </c>
      <c r="B390" s="54">
        <v>154084</v>
      </c>
      <c r="C390" s="54">
        <v>828339</v>
      </c>
      <c r="D390" s="53">
        <f t="shared" si="6"/>
        <v>982423</v>
      </c>
    </row>
    <row r="391" spans="1:4" hidden="1" x14ac:dyDescent="0.25">
      <c r="A391" s="52">
        <v>44682</v>
      </c>
      <c r="B391" s="54">
        <v>148756</v>
      </c>
      <c r="C391" s="54">
        <v>817917</v>
      </c>
      <c r="D391" s="53">
        <f t="shared" si="6"/>
        <v>966673</v>
      </c>
    </row>
    <row r="392" spans="1:4" hidden="1" x14ac:dyDescent="0.25">
      <c r="A392" s="52">
        <v>44713</v>
      </c>
      <c r="B392" s="54">
        <v>144148</v>
      </c>
      <c r="C392" s="54">
        <v>810385</v>
      </c>
      <c r="D392" s="53">
        <f t="shared" si="6"/>
        <v>954533</v>
      </c>
    </row>
    <row r="393" spans="1:4" hidden="1" x14ac:dyDescent="0.25">
      <c r="A393" s="52">
        <v>44743</v>
      </c>
      <c r="B393" s="54">
        <v>141983</v>
      </c>
      <c r="C393" s="54">
        <v>799865</v>
      </c>
      <c r="D393" s="53">
        <f t="shared" si="6"/>
        <v>941848</v>
      </c>
    </row>
    <row r="394" spans="1:4" hidden="1" x14ac:dyDescent="0.25">
      <c r="A394" s="52">
        <v>44774</v>
      </c>
      <c r="B394" s="54">
        <v>143062</v>
      </c>
      <c r="C394" s="54">
        <v>804189</v>
      </c>
      <c r="D394" s="53">
        <f t="shared" si="6"/>
        <v>947251</v>
      </c>
    </row>
    <row r="395" spans="1:4" hidden="1" x14ac:dyDescent="0.25">
      <c r="A395" s="52">
        <v>44805</v>
      </c>
      <c r="B395" s="54">
        <v>143071</v>
      </c>
      <c r="C395" s="54">
        <v>811788</v>
      </c>
      <c r="D395" s="53">
        <f t="shared" si="6"/>
        <v>954859</v>
      </c>
    </row>
    <row r="396" spans="1:4" hidden="1" x14ac:dyDescent="0.25">
      <c r="A396" s="52">
        <v>44835</v>
      </c>
      <c r="B396" s="54">
        <v>143025</v>
      </c>
      <c r="C396" s="54">
        <v>818711</v>
      </c>
      <c r="D396" s="53">
        <f t="shared" si="6"/>
        <v>961736</v>
      </c>
    </row>
    <row r="397" spans="1:4" hidden="1" x14ac:dyDescent="0.25">
      <c r="A397" s="52">
        <v>44866</v>
      </c>
      <c r="B397" s="54">
        <v>143162</v>
      </c>
      <c r="C397" s="54">
        <v>825533</v>
      </c>
      <c r="D397" s="53">
        <f>SUM(B397:C397)</f>
        <v>968695</v>
      </c>
    </row>
  </sheetData>
  <autoFilter ref="A2:D397">
    <filterColumn colId="0">
      <filters>
        <dateGroupItem year="2021" month="12" dateTimeGrouping="month"/>
        <dateGroupItem year="2020" month="12" dateTimeGrouping="month"/>
        <dateGroupItem year="2019" month="12" dateTimeGrouping="month"/>
        <dateGroupItem year="2018" month="12" dateTimeGrouping="month"/>
        <dateGroupItem year="2017" month="12" dateTimeGrouping="month"/>
        <dateGroupItem year="2016" month="12" dateTimeGrouping="month"/>
        <dateGroupItem year="2015" month="12" dateTimeGrouping="month"/>
        <dateGroupItem year="2014" month="12" dateTimeGrouping="month"/>
        <dateGroupItem year="2013" month="12" dateTimeGrouping="month"/>
        <dateGroupItem year="2012" month="12" dateTimeGrouping="month"/>
        <dateGroupItem year="2011" month="12" dateTimeGrouping="month"/>
        <dateGroupItem year="2010" month="12" dateTimeGrouping="month"/>
        <dateGroupItem year="2009" month="12" dateTimeGrouping="month"/>
        <dateGroupItem year="2008" month="12" dateTimeGrouping="month"/>
        <dateGroupItem year="2007" month="12" dateTimeGrouping="month"/>
        <dateGroupItem year="2006" month="12" dateTimeGrouping="month"/>
        <dateGroupItem year="2005" month="12" dateTimeGrouping="month"/>
        <dateGroupItem year="2004" month="12" dateTimeGrouping="month"/>
        <dateGroupItem year="2003" month="12" dateTimeGrouping="month"/>
        <dateGroupItem year="2002" month="12" dateTimeGrouping="month"/>
        <dateGroupItem year="2001" month="12" dateTimeGrouping="month"/>
        <dateGroupItem year="2000" month="12" dateTimeGrouping="month"/>
        <dateGroupItem year="1999" month="12" dateTimeGrouping="month"/>
        <dateGroupItem year="1998" month="12" dateTimeGrouping="month"/>
        <dateGroupItem year="1997" month="12" dateTimeGrouping="month"/>
        <dateGroupItem year="1996" month="12" dateTimeGrouping="month"/>
        <dateGroupItem year="1995" month="12" dateTimeGrouping="month"/>
        <dateGroupItem year="1994" month="12" dateTimeGrouping="month"/>
        <dateGroupItem year="1993" month="12" dateTimeGrouping="month"/>
        <dateGroupItem year="1992" month="12" dateTimeGrouping="month"/>
        <dateGroupItem year="1991" month="12" dateTimeGrouping="month"/>
        <dateGroupItem year="1990" month="12" dateTimeGrouping="month"/>
      </filters>
    </filterColumn>
  </autoFilter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Matriculas</vt:lpstr>
      <vt:lpstr>Lletras</vt:lpstr>
      <vt:lpstr>Vehículos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2022-12-29T06:53:55Z</dcterms:created>
  <dcterms:modified xsi:type="dcterms:W3CDTF">2022-12-29T09:16:48Z</dcterms:modified>
</cp:coreProperties>
</file>